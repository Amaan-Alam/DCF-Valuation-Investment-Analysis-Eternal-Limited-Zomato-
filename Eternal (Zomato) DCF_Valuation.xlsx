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xl/webextensions/webextension8.xml" ContentType="application/vnd.ms-office.webextension+xml"/>
  <Override PartName="/xl/webextensions/webextension9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a\Desktop\Finance Projects\DCF Valuation\"/>
    </mc:Choice>
  </mc:AlternateContent>
  <xr:revisionPtr revIDLastSave="0" documentId="13_ncr:1_{83F988D1-0D1A-4E1B-898D-6705B2189930}" xr6:coauthVersionLast="47" xr6:coauthVersionMax="47" xr10:uidLastSave="{00000000-0000-0000-0000-000000000000}"/>
  <bookViews>
    <workbookView xWindow="-120" yWindow="-120" windowWidth="23280" windowHeight="14880" tabRatio="698" activeTab="9" xr2:uid="{A7C5703E-19B9-4476-A016-C22A363A9599}"/>
  </bookViews>
  <sheets>
    <sheet name="Cover" sheetId="19" r:id="rId1"/>
    <sheet name="Summary" sheetId="17" r:id="rId2"/>
    <sheet name="Assumptions" sheetId="13" r:id="rId3"/>
    <sheet name="Scenarios" sheetId="16" r:id="rId4"/>
    <sheet name="DCF" sheetId="14" r:id="rId5"/>
    <sheet name="Sensitivity" sheetId="15" r:id="rId6"/>
    <sheet name="Balance Sheet" sheetId="7" r:id="rId7"/>
    <sheet name="P&amp;L" sheetId="8" r:id="rId8"/>
    <sheet name="Cash Flow" sheetId="9" r:id="rId9"/>
    <sheet name="Equity" sheetId="10" r:id="rId10"/>
    <sheet name="PB_CACHE_JS" sheetId="11" state="veryHidden" r:id="rId11"/>
    <sheet name="__tracelight_scratchpad__" sheetId="12" state="veryHidden" r:id="rId12"/>
    <sheet name="_PB_CACHE_JS" sheetId="2" state="veryHidden" r:id="rId13"/>
    <sheet name="___tracelight_scratchpad__" sheetId="3" state="very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9" l="1"/>
  <c r="B8" i="19"/>
  <c r="D114" i="16"/>
  <c r="E114" i="16" s="1"/>
  <c r="F114" i="16" s="1"/>
  <c r="E11" i="16"/>
  <c r="B12" i="19"/>
  <c r="I51" i="13"/>
  <c r="J51" i="13"/>
  <c r="L51" i="13"/>
  <c r="M51" i="13"/>
  <c r="N51" i="13"/>
  <c r="Q51" i="13"/>
  <c r="G50" i="13"/>
  <c r="I50" i="13"/>
  <c r="J50" i="13"/>
  <c r="K50" i="13"/>
  <c r="N50" i="13"/>
  <c r="O50" i="13"/>
  <c r="Q50" i="13"/>
  <c r="G49" i="13"/>
  <c r="H49" i="13"/>
  <c r="K49" i="13"/>
  <c r="L49" i="13"/>
  <c r="N49" i="13"/>
  <c r="O49" i="13"/>
  <c r="P49" i="13"/>
  <c r="H48" i="13"/>
  <c r="I48" i="13"/>
  <c r="K48" i="13"/>
  <c r="L48" i="13"/>
  <c r="M48" i="13"/>
  <c r="P48" i="13"/>
  <c r="Q48" i="13"/>
  <c r="H47" i="13"/>
  <c r="I47" i="13"/>
  <c r="J47" i="13"/>
  <c r="M47" i="13"/>
  <c r="N47" i="13"/>
  <c r="P47" i="13"/>
  <c r="Q47" i="13"/>
  <c r="G46" i="13"/>
  <c r="J46" i="13"/>
  <c r="K46" i="13"/>
  <c r="M46" i="13"/>
  <c r="N46" i="13"/>
  <c r="O46" i="13"/>
  <c r="G43" i="13"/>
  <c r="H43" i="13"/>
  <c r="J43" i="13"/>
  <c r="K43" i="13"/>
  <c r="L43" i="13"/>
  <c r="O43" i="13"/>
  <c r="P43" i="13"/>
  <c r="G42" i="13"/>
  <c r="H42" i="13"/>
  <c r="I42" i="13"/>
  <c r="L42" i="13"/>
  <c r="M42" i="13"/>
  <c r="O42" i="13"/>
  <c r="P42" i="13"/>
  <c r="Q42" i="13"/>
  <c r="I41" i="13"/>
  <c r="J41" i="13"/>
  <c r="L41" i="13"/>
  <c r="M41" i="13"/>
  <c r="N41" i="13"/>
  <c r="Q41" i="13"/>
  <c r="G40" i="13"/>
  <c r="I40" i="13"/>
  <c r="J40" i="13"/>
  <c r="K40" i="13"/>
  <c r="N40" i="13"/>
  <c r="O40" i="13"/>
  <c r="Q40" i="13"/>
  <c r="G39" i="13"/>
  <c r="H39" i="13"/>
  <c r="K39" i="13"/>
  <c r="L39" i="13"/>
  <c r="N39" i="13"/>
  <c r="O39" i="13"/>
  <c r="P39" i="13"/>
  <c r="H36" i="13"/>
  <c r="I36" i="13"/>
  <c r="K36" i="13"/>
  <c r="L36" i="13"/>
  <c r="M36" i="13"/>
  <c r="P36" i="13"/>
  <c r="Q36" i="13"/>
  <c r="H35" i="13"/>
  <c r="I35" i="13"/>
  <c r="J35" i="13"/>
  <c r="M35" i="13"/>
  <c r="N35" i="13"/>
  <c r="P35" i="13"/>
  <c r="Q35" i="13"/>
  <c r="G34" i="13"/>
  <c r="G9" i="14" s="1"/>
  <c r="J34" i="13"/>
  <c r="K34" i="13"/>
  <c r="M34" i="13"/>
  <c r="N34" i="13"/>
  <c r="O34" i="13"/>
  <c r="G33" i="13"/>
  <c r="H33" i="13"/>
  <c r="J33" i="13"/>
  <c r="K33" i="13"/>
  <c r="L33" i="13"/>
  <c r="O33" i="13"/>
  <c r="P33" i="13"/>
  <c r="G32" i="13"/>
  <c r="H32" i="13"/>
  <c r="I32" i="13"/>
  <c r="L32" i="13"/>
  <c r="M32" i="13"/>
  <c r="O32" i="13"/>
  <c r="P32" i="13"/>
  <c r="Q32" i="13"/>
  <c r="G51" i="13"/>
  <c r="B46" i="17"/>
  <c r="C46" i="17" s="1"/>
  <c r="E43" i="17"/>
  <c r="C13" i="17"/>
  <c r="D13" i="17"/>
  <c r="F13" i="17" s="1"/>
  <c r="E13" i="17"/>
  <c r="C12" i="17"/>
  <c r="D12" i="17"/>
  <c r="E12" i="17"/>
  <c r="D155" i="16"/>
  <c r="E38" i="17" s="1"/>
  <c r="D153" i="16"/>
  <c r="E36" i="17" s="1"/>
  <c r="D151" i="16"/>
  <c r="E32" i="17" s="1"/>
  <c r="E141" i="16"/>
  <c r="F141" i="16" s="1"/>
  <c r="C111" i="16"/>
  <c r="D111" i="16" s="1"/>
  <c r="E111" i="16" s="1"/>
  <c r="E120" i="16" s="1"/>
  <c r="C112" i="16"/>
  <c r="D112" i="16" s="1"/>
  <c r="C113" i="16"/>
  <c r="D113" i="16" s="1"/>
  <c r="C114" i="16"/>
  <c r="C115" i="16"/>
  <c r="D115" i="16" s="1"/>
  <c r="D104" i="16"/>
  <c r="D38" i="17" s="1"/>
  <c r="D102" i="16"/>
  <c r="D36" i="17" s="1"/>
  <c r="F36" i="17" s="1"/>
  <c r="E90" i="16"/>
  <c r="F90" i="16" s="1"/>
  <c r="G90" i="16" s="1"/>
  <c r="H90" i="16" s="1"/>
  <c r="I90" i="16" s="1"/>
  <c r="J90" i="16" s="1"/>
  <c r="K90" i="16" s="1"/>
  <c r="L90" i="16" s="1"/>
  <c r="M90" i="16" s="1"/>
  <c r="C60" i="16"/>
  <c r="D60" i="16" s="1"/>
  <c r="C61" i="16"/>
  <c r="D61" i="16" s="1"/>
  <c r="E61" i="16" s="1"/>
  <c r="C62" i="16"/>
  <c r="D62" i="16" s="1"/>
  <c r="C63" i="16"/>
  <c r="D63" i="16" s="1"/>
  <c r="D72" i="16" s="1"/>
  <c r="C64" i="16"/>
  <c r="D64" i="16" s="1"/>
  <c r="D53" i="16"/>
  <c r="C38" i="17" s="1"/>
  <c r="D51" i="16"/>
  <c r="C36" i="17" s="1"/>
  <c r="D49" i="16"/>
  <c r="C32" i="17" s="1"/>
  <c r="E39" i="16"/>
  <c r="F39" i="16" s="1"/>
  <c r="G39" i="16" s="1"/>
  <c r="H39" i="16" s="1"/>
  <c r="I39" i="16" s="1"/>
  <c r="J39" i="16" s="1"/>
  <c r="K39" i="16" s="1"/>
  <c r="L39" i="16" s="1"/>
  <c r="M39" i="16" s="1"/>
  <c r="C9" i="16"/>
  <c r="D9" i="16" s="1"/>
  <c r="E9" i="16" s="1"/>
  <c r="C10" i="16"/>
  <c r="D10" i="16" s="1"/>
  <c r="E10" i="16" s="1"/>
  <c r="F10" i="16" s="1"/>
  <c r="G10" i="16" s="1"/>
  <c r="C11" i="16"/>
  <c r="D11" i="16" s="1"/>
  <c r="D20" i="16" s="1"/>
  <c r="C12" i="16"/>
  <c r="D12" i="16" s="1"/>
  <c r="C13" i="16"/>
  <c r="D13" i="16" s="1"/>
  <c r="T18" i="13"/>
  <c r="U18" i="13"/>
  <c r="V18" i="13"/>
  <c r="F28" i="13"/>
  <c r="G3" i="14" s="1"/>
  <c r="F55" i="14"/>
  <c r="F53" i="14"/>
  <c r="C28" i="14"/>
  <c r="D28" i="14"/>
  <c r="E28" i="14"/>
  <c r="F28" i="14"/>
  <c r="E26" i="14"/>
  <c r="F26" i="14"/>
  <c r="E21" i="14"/>
  <c r="F21" i="14"/>
  <c r="F25" i="14" s="1"/>
  <c r="C12" i="14"/>
  <c r="D12" i="14"/>
  <c r="D13" i="14" s="1"/>
  <c r="E12" i="14"/>
  <c r="E13" i="14" s="1"/>
  <c r="F12" i="14"/>
  <c r="F21" i="13"/>
  <c r="F11" i="13"/>
  <c r="F51" i="14" s="1"/>
  <c r="F10" i="13"/>
  <c r="F9" i="13"/>
  <c r="H10" i="16" l="1"/>
  <c r="I10" i="16" s="1"/>
  <c r="G19" i="16"/>
  <c r="F27" i="14"/>
  <c r="F29" i="14" s="1"/>
  <c r="F30" i="14" s="1"/>
  <c r="F12" i="17"/>
  <c r="D120" i="16"/>
  <c r="E123" i="16"/>
  <c r="D71" i="16"/>
  <c r="E62" i="16"/>
  <c r="D150" i="16"/>
  <c r="E31" i="17" s="1"/>
  <c r="D99" i="16"/>
  <c r="D31" i="17" s="1"/>
  <c r="F9" i="16"/>
  <c r="E18" i="16"/>
  <c r="D18" i="16"/>
  <c r="F12" i="13"/>
  <c r="F22" i="13" s="1"/>
  <c r="E60" i="16"/>
  <c r="E69" i="16" s="1"/>
  <c r="D69" i="16"/>
  <c r="D48" i="16"/>
  <c r="C31" i="17" s="1"/>
  <c r="F50" i="14"/>
  <c r="E113" i="16"/>
  <c r="D122" i="16"/>
  <c r="E12" i="16"/>
  <c r="D21" i="16"/>
  <c r="E115" i="16"/>
  <c r="D124" i="16"/>
  <c r="E13" i="16"/>
  <c r="D22" i="16"/>
  <c r="E112" i="16"/>
  <c r="D121" i="16"/>
  <c r="E20" i="16"/>
  <c r="F11" i="16"/>
  <c r="F61" i="16"/>
  <c r="E70" i="16"/>
  <c r="F23" i="13"/>
  <c r="F111" i="16"/>
  <c r="D73" i="16"/>
  <c r="E64" i="16"/>
  <c r="G114" i="16"/>
  <c r="F123" i="16"/>
  <c r="F13" i="14"/>
  <c r="H19" i="16"/>
  <c r="F19" i="16"/>
  <c r="E63" i="16"/>
  <c r="D123" i="16"/>
  <c r="E19" i="16"/>
  <c r="D100" i="16"/>
  <c r="D32" i="17" s="1"/>
  <c r="F32" i="17" s="1"/>
  <c r="D19" i="16"/>
  <c r="D70" i="16"/>
  <c r="E22" i="14"/>
  <c r="N32" i="13"/>
  <c r="Q33" i="13"/>
  <c r="I33" i="13"/>
  <c r="L34" i="13"/>
  <c r="O35" i="13"/>
  <c r="G35" i="13"/>
  <c r="G10" i="14" s="1"/>
  <c r="J36" i="13"/>
  <c r="M39" i="13"/>
  <c r="P40" i="13"/>
  <c r="H40" i="13"/>
  <c r="K41" i="13"/>
  <c r="N42" i="13"/>
  <c r="Q43" i="13"/>
  <c r="I43" i="13"/>
  <c r="L46" i="13"/>
  <c r="O47" i="13"/>
  <c r="G47" i="13"/>
  <c r="J48" i="13"/>
  <c r="M49" i="13"/>
  <c r="P50" i="13"/>
  <c r="H50" i="13"/>
  <c r="K51" i="13"/>
  <c r="K32" i="13"/>
  <c r="N33" i="13"/>
  <c r="Q34" i="13"/>
  <c r="I34" i="13"/>
  <c r="L35" i="13"/>
  <c r="O36" i="13"/>
  <c r="G36" i="13"/>
  <c r="G11" i="14" s="1"/>
  <c r="H11" i="14" s="1"/>
  <c r="I11" i="14" s="1"/>
  <c r="J39" i="13"/>
  <c r="M40" i="13"/>
  <c r="P41" i="13"/>
  <c r="H41" i="13"/>
  <c r="K42" i="13"/>
  <c r="N43" i="13"/>
  <c r="Q46" i="13"/>
  <c r="I46" i="13"/>
  <c r="L47" i="13"/>
  <c r="O48" i="13"/>
  <c r="G48" i="13"/>
  <c r="J49" i="13"/>
  <c r="M50" i="13"/>
  <c r="P51" i="13"/>
  <c r="H51" i="13"/>
  <c r="J32" i="13"/>
  <c r="M33" i="13"/>
  <c r="P34" i="13"/>
  <c r="H34" i="13"/>
  <c r="H9" i="14" s="1"/>
  <c r="K35" i="13"/>
  <c r="N36" i="13"/>
  <c r="Q39" i="13"/>
  <c r="I39" i="13"/>
  <c r="L40" i="13"/>
  <c r="O41" i="13"/>
  <c r="G41" i="13"/>
  <c r="G18" i="14" s="1"/>
  <c r="J42" i="13"/>
  <c r="M43" i="13"/>
  <c r="P46" i="13"/>
  <c r="H46" i="13"/>
  <c r="K47" i="13"/>
  <c r="N48" i="13"/>
  <c r="Q49" i="13"/>
  <c r="I49" i="13"/>
  <c r="L50" i="13"/>
  <c r="O51" i="13"/>
  <c r="G7" i="14"/>
  <c r="F17" i="13"/>
  <c r="F18" i="13" s="1"/>
  <c r="T7" i="13"/>
  <c r="B5" i="17" s="1"/>
  <c r="G8" i="14"/>
  <c r="G17" i="14" s="1"/>
  <c r="G3" i="15"/>
  <c r="F38" i="17"/>
  <c r="G141" i="16"/>
  <c r="F31" i="17"/>
  <c r="C14" i="16"/>
  <c r="D14" i="16"/>
  <c r="E25" i="14"/>
  <c r="E27" i="14" s="1"/>
  <c r="E29" i="14" s="1"/>
  <c r="E30" i="14" s="1"/>
  <c r="F22" i="14"/>
  <c r="D65" i="16"/>
  <c r="C65" i="16"/>
  <c r="C116" i="16"/>
  <c r="J10" i="16" l="1"/>
  <c r="I19" i="16"/>
  <c r="U24" i="13"/>
  <c r="T24" i="13"/>
  <c r="V24" i="13"/>
  <c r="F24" i="13"/>
  <c r="E3" i="14" s="1"/>
  <c r="G61" i="16"/>
  <c r="F70" i="16"/>
  <c r="E124" i="16"/>
  <c r="F115" i="16"/>
  <c r="F13" i="16"/>
  <c r="E22" i="16"/>
  <c r="B3" i="16"/>
  <c r="B3" i="15"/>
  <c r="D35" i="16"/>
  <c r="D28" i="16"/>
  <c r="D33" i="16" s="1"/>
  <c r="D26" i="16"/>
  <c r="D34" i="16"/>
  <c r="H114" i="16"/>
  <c r="G123" i="16"/>
  <c r="F12" i="16"/>
  <c r="E21" i="16"/>
  <c r="E73" i="16"/>
  <c r="F64" i="16"/>
  <c r="F20" i="16"/>
  <c r="G11" i="16"/>
  <c r="G9" i="16"/>
  <c r="F18" i="16"/>
  <c r="F60" i="16"/>
  <c r="F65" i="16" s="1"/>
  <c r="F112" i="16"/>
  <c r="E121" i="16"/>
  <c r="F113" i="16"/>
  <c r="E122" i="16"/>
  <c r="F62" i="16"/>
  <c r="E71" i="16"/>
  <c r="D86" i="16"/>
  <c r="D79" i="16"/>
  <c r="D84" i="16" s="1"/>
  <c r="D85" i="16"/>
  <c r="D77" i="16"/>
  <c r="F63" i="16"/>
  <c r="E72" i="16"/>
  <c r="G111" i="16"/>
  <c r="F120" i="16"/>
  <c r="J11" i="14"/>
  <c r="K11" i="14" s="1"/>
  <c r="B3" i="14"/>
  <c r="G20" i="14"/>
  <c r="H10" i="14"/>
  <c r="I10" i="14" s="1"/>
  <c r="J10" i="14" s="1"/>
  <c r="J19" i="14" s="1"/>
  <c r="G19" i="14"/>
  <c r="E65" i="16"/>
  <c r="H8" i="14"/>
  <c r="I8" i="14" s="1"/>
  <c r="J8" i="14" s="1"/>
  <c r="G16" i="14"/>
  <c r="S2" i="13"/>
  <c r="H7" i="14"/>
  <c r="H16" i="14" s="1"/>
  <c r="H41" i="14"/>
  <c r="G12" i="14"/>
  <c r="G13" i="14" s="1"/>
  <c r="G142" i="16"/>
  <c r="H141" i="16"/>
  <c r="C16" i="17"/>
  <c r="D74" i="16"/>
  <c r="D75" i="16" s="1"/>
  <c r="D15" i="16"/>
  <c r="D16" i="17"/>
  <c r="D66" i="16"/>
  <c r="E14" i="16"/>
  <c r="D23" i="16"/>
  <c r="D116" i="16"/>
  <c r="D125" i="16"/>
  <c r="H20" i="14"/>
  <c r="I20" i="14"/>
  <c r="J20" i="14"/>
  <c r="I9" i="14"/>
  <c r="H18" i="14"/>
  <c r="P41" i="14" l="1"/>
  <c r="K41" i="14"/>
  <c r="M41" i="14"/>
  <c r="L41" i="14"/>
  <c r="K10" i="16"/>
  <c r="J19" i="16"/>
  <c r="G63" i="16"/>
  <c r="F72" i="16"/>
  <c r="F124" i="16"/>
  <c r="G115" i="16"/>
  <c r="E86" i="16"/>
  <c r="E79" i="16"/>
  <c r="E84" i="16" s="1"/>
  <c r="E77" i="16"/>
  <c r="E85" i="16"/>
  <c r="G112" i="16"/>
  <c r="F121" i="16"/>
  <c r="E35" i="16"/>
  <c r="E28" i="16"/>
  <c r="E33" i="16" s="1"/>
  <c r="E34" i="16"/>
  <c r="E26" i="16"/>
  <c r="J41" i="14"/>
  <c r="H9" i="16"/>
  <c r="G18" i="16"/>
  <c r="I114" i="16"/>
  <c r="H123" i="16"/>
  <c r="G13" i="16"/>
  <c r="F22" i="16"/>
  <c r="F23" i="16" s="1"/>
  <c r="C41" i="19"/>
  <c r="E11" i="17"/>
  <c r="D142" i="16"/>
  <c r="F142" i="16"/>
  <c r="E142" i="16"/>
  <c r="F86" i="16"/>
  <c r="F79" i="16"/>
  <c r="F84" i="16" s="1"/>
  <c r="F85" i="16"/>
  <c r="F77" i="16"/>
  <c r="F73" i="16"/>
  <c r="G64" i="16"/>
  <c r="D137" i="16"/>
  <c r="D130" i="16"/>
  <c r="D135" i="16" s="1"/>
  <c r="D128" i="16"/>
  <c r="D136" i="16"/>
  <c r="H61" i="16"/>
  <c r="G70" i="16"/>
  <c r="I19" i="14"/>
  <c r="N41" i="14"/>
  <c r="G41" i="14"/>
  <c r="E3" i="15"/>
  <c r="G120" i="16"/>
  <c r="H111" i="16"/>
  <c r="G62" i="16"/>
  <c r="F71" i="16"/>
  <c r="H11" i="16"/>
  <c r="G20" i="16"/>
  <c r="H40" i="16"/>
  <c r="C11" i="17"/>
  <c r="D40" i="16"/>
  <c r="C39" i="19"/>
  <c r="G40" i="16"/>
  <c r="F40" i="16"/>
  <c r="K40" i="16"/>
  <c r="L40" i="16"/>
  <c r="E40" i="16"/>
  <c r="J40" i="16"/>
  <c r="M40" i="16"/>
  <c r="I40" i="16"/>
  <c r="G113" i="16"/>
  <c r="F122" i="16"/>
  <c r="G60" i="16"/>
  <c r="F69" i="16"/>
  <c r="F74" i="16" s="1"/>
  <c r="F21" i="16"/>
  <c r="G12" i="16"/>
  <c r="I41" i="14"/>
  <c r="O41" i="14"/>
  <c r="I91" i="16"/>
  <c r="K91" i="16"/>
  <c r="D11" i="17"/>
  <c r="F11" i="17" s="1"/>
  <c r="M91" i="16"/>
  <c r="C40" i="19"/>
  <c r="D91" i="16"/>
  <c r="G91" i="16"/>
  <c r="E91" i="16"/>
  <c r="H91" i="16"/>
  <c r="J91" i="16"/>
  <c r="L91" i="16"/>
  <c r="F91" i="16"/>
  <c r="E74" i="16"/>
  <c r="E75" i="16" s="1"/>
  <c r="E66" i="16"/>
  <c r="E23" i="16"/>
  <c r="E24" i="16" s="1"/>
  <c r="K10" i="14"/>
  <c r="K19" i="14" s="1"/>
  <c r="H19" i="14"/>
  <c r="G21" i="14"/>
  <c r="G25" i="14" s="1"/>
  <c r="I17" i="14"/>
  <c r="H17" i="14"/>
  <c r="G34" i="14"/>
  <c r="G35" i="14"/>
  <c r="G26" i="14"/>
  <c r="G28" i="14"/>
  <c r="G33" i="14" s="1"/>
  <c r="I7" i="14"/>
  <c r="I16" i="14" s="1"/>
  <c r="H12" i="14"/>
  <c r="H13" i="14" s="1"/>
  <c r="H142" i="16"/>
  <c r="I141" i="16"/>
  <c r="D78" i="16"/>
  <c r="D80" i="16" s="1"/>
  <c r="F66" i="16"/>
  <c r="F14" i="16"/>
  <c r="E125" i="16"/>
  <c r="E116" i="16"/>
  <c r="E16" i="17"/>
  <c r="F16" i="17" s="1"/>
  <c r="D117" i="16"/>
  <c r="D129" i="16"/>
  <c r="D27" i="16"/>
  <c r="D29" i="16" s="1"/>
  <c r="D31" i="16" s="1"/>
  <c r="D24" i="16"/>
  <c r="E15" i="16"/>
  <c r="E27" i="16"/>
  <c r="D126" i="16"/>
  <c r="K8" i="14"/>
  <c r="J17" i="14"/>
  <c r="L11" i="14"/>
  <c r="K20" i="14"/>
  <c r="J9" i="14"/>
  <c r="I18" i="14"/>
  <c r="G65" i="16" l="1"/>
  <c r="E78" i="16"/>
  <c r="E80" i="16" s="1"/>
  <c r="E82" i="16" s="1"/>
  <c r="L10" i="16"/>
  <c r="K19" i="16"/>
  <c r="G77" i="16"/>
  <c r="G86" i="16"/>
  <c r="G85" i="16"/>
  <c r="G79" i="16"/>
  <c r="H60" i="16"/>
  <c r="G69" i="16"/>
  <c r="F26" i="16"/>
  <c r="F27" i="16" s="1"/>
  <c r="F35" i="16"/>
  <c r="F34" i="16"/>
  <c r="F28" i="16"/>
  <c r="H64" i="16"/>
  <c r="G73" i="16"/>
  <c r="H113" i="16"/>
  <c r="G122" i="16"/>
  <c r="I61" i="16"/>
  <c r="H70" i="16"/>
  <c r="I111" i="16"/>
  <c r="H120" i="16"/>
  <c r="G124" i="16"/>
  <c r="H115" i="16"/>
  <c r="I9" i="16"/>
  <c r="H18" i="16"/>
  <c r="I11" i="16"/>
  <c r="H20" i="16"/>
  <c r="H62" i="16"/>
  <c r="H65" i="16" s="1"/>
  <c r="G71" i="16"/>
  <c r="G74" i="16" s="1"/>
  <c r="H13" i="16"/>
  <c r="G22" i="16"/>
  <c r="E137" i="16"/>
  <c r="E130" i="16"/>
  <c r="E136" i="16"/>
  <c r="E128" i="16"/>
  <c r="E129" i="16" s="1"/>
  <c r="D81" i="16"/>
  <c r="D82" i="16"/>
  <c r="D83" i="16" s="1"/>
  <c r="D87" i="16" s="1"/>
  <c r="D92" i="16" s="1"/>
  <c r="H12" i="16"/>
  <c r="G21" i="16"/>
  <c r="J114" i="16"/>
  <c r="I123" i="16"/>
  <c r="H112" i="16"/>
  <c r="G121" i="16"/>
  <c r="H63" i="16"/>
  <c r="G72" i="16"/>
  <c r="G22" i="14"/>
  <c r="G27" i="14"/>
  <c r="G29" i="14" s="1"/>
  <c r="G31" i="14" s="1"/>
  <c r="G32" i="14" s="1"/>
  <c r="G36" i="14" s="1"/>
  <c r="L10" i="14"/>
  <c r="L19" i="14" s="1"/>
  <c r="H21" i="14"/>
  <c r="H22" i="14" s="1"/>
  <c r="I12" i="14"/>
  <c r="I28" i="14" s="1"/>
  <c r="I33" i="14" s="1"/>
  <c r="I21" i="14"/>
  <c r="I25" i="14" s="1"/>
  <c r="H28" i="14"/>
  <c r="H33" i="14" s="1"/>
  <c r="H34" i="14"/>
  <c r="H26" i="14"/>
  <c r="J7" i="14"/>
  <c r="K7" i="14" s="1"/>
  <c r="L7" i="14" s="1"/>
  <c r="D131" i="16"/>
  <c r="H35" i="14"/>
  <c r="J141" i="16"/>
  <c r="I142" i="16"/>
  <c r="E29" i="16"/>
  <c r="G66" i="16"/>
  <c r="G84" i="16"/>
  <c r="F78" i="16"/>
  <c r="F80" i="16" s="1"/>
  <c r="F82" i="16" s="1"/>
  <c r="F75" i="16"/>
  <c r="D30" i="16"/>
  <c r="D32" i="16"/>
  <c r="D36" i="16" s="1"/>
  <c r="G14" i="16"/>
  <c r="F125" i="16"/>
  <c r="F116" i="16"/>
  <c r="F33" i="16"/>
  <c r="F15" i="16"/>
  <c r="E135" i="16"/>
  <c r="E117" i="16"/>
  <c r="F24" i="16"/>
  <c r="E83" i="16"/>
  <c r="E87" i="16" s="1"/>
  <c r="E81" i="16"/>
  <c r="E126" i="16"/>
  <c r="M11" i="14"/>
  <c r="L20" i="14"/>
  <c r="K9" i="14"/>
  <c r="J18" i="14"/>
  <c r="L8" i="14"/>
  <c r="K17" i="14"/>
  <c r="M10" i="16" l="1"/>
  <c r="L19" i="16"/>
  <c r="K114" i="16"/>
  <c r="J123" i="16"/>
  <c r="J9" i="16"/>
  <c r="I18" i="16"/>
  <c r="I60" i="16"/>
  <c r="H69" i="16"/>
  <c r="I13" i="16"/>
  <c r="H22" i="16"/>
  <c r="I64" i="16"/>
  <c r="H73" i="16"/>
  <c r="I112" i="16"/>
  <c r="H121" i="16"/>
  <c r="J11" i="16"/>
  <c r="I20" i="16"/>
  <c r="H85" i="16"/>
  <c r="H77" i="16"/>
  <c r="H79" i="16"/>
  <c r="H86" i="16"/>
  <c r="D133" i="16"/>
  <c r="D134" i="16" s="1"/>
  <c r="D138" i="16" s="1"/>
  <c r="I113" i="16"/>
  <c r="H122" i="16"/>
  <c r="F128" i="16"/>
  <c r="F129" i="16" s="1"/>
  <c r="F137" i="16"/>
  <c r="F136" i="16"/>
  <c r="F130" i="16"/>
  <c r="F135" i="16" s="1"/>
  <c r="I12" i="16"/>
  <c r="H21" i="16"/>
  <c r="J61" i="16"/>
  <c r="I70" i="16"/>
  <c r="H124" i="16"/>
  <c r="I115" i="16"/>
  <c r="E30" i="16"/>
  <c r="E31" i="16"/>
  <c r="G34" i="16"/>
  <c r="G26" i="16"/>
  <c r="G28" i="16"/>
  <c r="G33" i="16" s="1"/>
  <c r="G35" i="16"/>
  <c r="I63" i="16"/>
  <c r="H72" i="16"/>
  <c r="I62" i="16"/>
  <c r="H71" i="16"/>
  <c r="J111" i="16"/>
  <c r="I120" i="16"/>
  <c r="D132" i="16"/>
  <c r="G23" i="16"/>
  <c r="G24" i="16" s="1"/>
  <c r="H25" i="14"/>
  <c r="H27" i="14" s="1"/>
  <c r="H29" i="14" s="1"/>
  <c r="M10" i="14"/>
  <c r="N10" i="14" s="1"/>
  <c r="O10" i="14" s="1"/>
  <c r="P10" i="14" s="1"/>
  <c r="I22" i="14"/>
  <c r="D88" i="16"/>
  <c r="K16" i="14"/>
  <c r="K12" i="14"/>
  <c r="K26" i="14" s="1"/>
  <c r="I26" i="14"/>
  <c r="I27" i="14" s="1"/>
  <c r="I29" i="14" s="1"/>
  <c r="I30" i="14" s="1"/>
  <c r="I34" i="14"/>
  <c r="I13" i="14"/>
  <c r="J12" i="14"/>
  <c r="J28" i="14" s="1"/>
  <c r="J33" i="14" s="1"/>
  <c r="I35" i="14"/>
  <c r="J16" i="14"/>
  <c r="J21" i="14" s="1"/>
  <c r="J25" i="14" s="1"/>
  <c r="G30" i="14"/>
  <c r="E32" i="16"/>
  <c r="E36" i="16" s="1"/>
  <c r="E37" i="16" s="1"/>
  <c r="E131" i="16"/>
  <c r="J142" i="16"/>
  <c r="K141" i="16"/>
  <c r="E92" i="16"/>
  <c r="E88" i="16"/>
  <c r="G78" i="16"/>
  <c r="G80" i="16" s="1"/>
  <c r="G82" i="16" s="1"/>
  <c r="G75" i="16"/>
  <c r="D37" i="16"/>
  <c r="D41" i="16"/>
  <c r="F117" i="16"/>
  <c r="G15" i="16"/>
  <c r="F126" i="16"/>
  <c r="H14" i="16"/>
  <c r="G125" i="16"/>
  <c r="G116" i="16"/>
  <c r="F83" i="16"/>
  <c r="F87" i="16" s="1"/>
  <c r="F81" i="16"/>
  <c r="F29" i="16"/>
  <c r="F31" i="16" s="1"/>
  <c r="D17" i="17"/>
  <c r="H66" i="16"/>
  <c r="H84" i="16"/>
  <c r="G37" i="14"/>
  <c r="G42" i="14"/>
  <c r="M8" i="14"/>
  <c r="L17" i="14"/>
  <c r="M7" i="14"/>
  <c r="L16" i="14"/>
  <c r="N11" i="14"/>
  <c r="M20" i="14"/>
  <c r="L9" i="14"/>
  <c r="K18" i="14"/>
  <c r="H74" i="16" l="1"/>
  <c r="N10" i="16"/>
  <c r="N19" i="16" s="1"/>
  <c r="M19" i="16"/>
  <c r="D139" i="16"/>
  <c r="D143" i="16"/>
  <c r="H34" i="16"/>
  <c r="H26" i="16"/>
  <c r="H35" i="16"/>
  <c r="H28" i="16"/>
  <c r="J63" i="16"/>
  <c r="I72" i="16"/>
  <c r="J13" i="16"/>
  <c r="I22" i="16"/>
  <c r="K111" i="16"/>
  <c r="J120" i="16"/>
  <c r="J12" i="16"/>
  <c r="I21" i="16"/>
  <c r="J112" i="16"/>
  <c r="I121" i="16"/>
  <c r="K9" i="16"/>
  <c r="J18" i="16"/>
  <c r="E133" i="16"/>
  <c r="E134" i="16" s="1"/>
  <c r="E138" i="16" s="1"/>
  <c r="K11" i="16"/>
  <c r="J20" i="16"/>
  <c r="G27" i="16"/>
  <c r="G29" i="16" s="1"/>
  <c r="G31" i="16" s="1"/>
  <c r="I124" i="16"/>
  <c r="J115" i="16"/>
  <c r="I65" i="16"/>
  <c r="K61" i="16"/>
  <c r="J70" i="16"/>
  <c r="J113" i="16"/>
  <c r="I122" i="16"/>
  <c r="J60" i="16"/>
  <c r="I69" i="16"/>
  <c r="G136" i="16"/>
  <c r="G128" i="16"/>
  <c r="G129" i="16" s="1"/>
  <c r="G130" i="16"/>
  <c r="G135" i="16" s="1"/>
  <c r="G137" i="16"/>
  <c r="J62" i="16"/>
  <c r="J65" i="16" s="1"/>
  <c r="I71" i="16"/>
  <c r="I74" i="16" s="1"/>
  <c r="J64" i="16"/>
  <c r="I73" i="16"/>
  <c r="L114" i="16"/>
  <c r="K123" i="16"/>
  <c r="H31" i="14"/>
  <c r="H32" i="14" s="1"/>
  <c r="H36" i="14" s="1"/>
  <c r="H42" i="14" s="1"/>
  <c r="H30" i="14"/>
  <c r="O19" i="14"/>
  <c r="M19" i="14"/>
  <c r="N19" i="14"/>
  <c r="F131" i="16"/>
  <c r="K21" i="14"/>
  <c r="K25" i="14" s="1"/>
  <c r="K27" i="14" s="1"/>
  <c r="K34" i="14"/>
  <c r="K28" i="14"/>
  <c r="K33" i="14" s="1"/>
  <c r="K35" i="14"/>
  <c r="J13" i="14"/>
  <c r="J26" i="14"/>
  <c r="J27" i="14" s="1"/>
  <c r="J29" i="14" s="1"/>
  <c r="J31" i="14" s="1"/>
  <c r="J32" i="14" s="1"/>
  <c r="K13" i="14"/>
  <c r="J35" i="14"/>
  <c r="J34" i="14"/>
  <c r="E41" i="16"/>
  <c r="E132" i="16"/>
  <c r="J22" i="14"/>
  <c r="H23" i="16"/>
  <c r="K142" i="16"/>
  <c r="L141" i="16"/>
  <c r="F30" i="16"/>
  <c r="F32" i="16"/>
  <c r="F36" i="16" s="1"/>
  <c r="H15" i="16"/>
  <c r="C17" i="17"/>
  <c r="H33" i="16"/>
  <c r="G83" i="16"/>
  <c r="G87" i="16" s="1"/>
  <c r="G81" i="16"/>
  <c r="G117" i="16"/>
  <c r="H125" i="16"/>
  <c r="H116" i="16"/>
  <c r="I66" i="16"/>
  <c r="H78" i="16"/>
  <c r="H80" i="16" s="1"/>
  <c r="H82" i="16" s="1"/>
  <c r="H75" i="16"/>
  <c r="G126" i="16"/>
  <c r="F92" i="16"/>
  <c r="F88" i="16"/>
  <c r="I14" i="16"/>
  <c r="I31" i="14"/>
  <c r="I32" i="14" s="1"/>
  <c r="I36" i="14" s="1"/>
  <c r="I42" i="14" s="1"/>
  <c r="N8" i="14"/>
  <c r="M17" i="14"/>
  <c r="N7" i="14"/>
  <c r="M16" i="14"/>
  <c r="O11" i="14"/>
  <c r="N20" i="14"/>
  <c r="M9" i="14"/>
  <c r="M12" i="14" s="1"/>
  <c r="L18" i="14"/>
  <c r="L21" i="14" s="1"/>
  <c r="L12" i="14"/>
  <c r="Q10" i="14"/>
  <c r="Q19" i="14" s="1"/>
  <c r="P19" i="14"/>
  <c r="E143" i="16" l="1"/>
  <c r="E139" i="16"/>
  <c r="F133" i="16"/>
  <c r="F134" i="16" s="1"/>
  <c r="F138" i="16" s="1"/>
  <c r="K60" i="16"/>
  <c r="J69" i="16"/>
  <c r="K63" i="16"/>
  <c r="J72" i="16"/>
  <c r="I28" i="16"/>
  <c r="I33" i="16" s="1"/>
  <c r="I34" i="16"/>
  <c r="I26" i="16"/>
  <c r="I35" i="16"/>
  <c r="K12" i="16"/>
  <c r="J21" i="16"/>
  <c r="L61" i="16"/>
  <c r="K70" i="16"/>
  <c r="L111" i="16"/>
  <c r="K120" i="16"/>
  <c r="K113" i="16"/>
  <c r="J122" i="16"/>
  <c r="H136" i="16"/>
  <c r="H128" i="16"/>
  <c r="H129" i="16" s="1"/>
  <c r="H137" i="16"/>
  <c r="H130" i="16"/>
  <c r="H135" i="16" s="1"/>
  <c r="I85" i="16"/>
  <c r="I77" i="16"/>
  <c r="I86" i="16"/>
  <c r="I79" i="16"/>
  <c r="I84" i="16" s="1"/>
  <c r="J79" i="16"/>
  <c r="J85" i="16"/>
  <c r="J77" i="16"/>
  <c r="J86" i="16"/>
  <c r="K64" i="16"/>
  <c r="J73" i="16"/>
  <c r="K112" i="16"/>
  <c r="J121" i="16"/>
  <c r="K62" i="16"/>
  <c r="J71" i="16"/>
  <c r="L11" i="16"/>
  <c r="K20" i="16"/>
  <c r="M114" i="16"/>
  <c r="L123" i="16"/>
  <c r="K115" i="16"/>
  <c r="J124" i="16"/>
  <c r="L9" i="16"/>
  <c r="K18" i="16"/>
  <c r="K13" i="16"/>
  <c r="J22" i="16"/>
  <c r="H37" i="14"/>
  <c r="F132" i="16"/>
  <c r="K22" i="14"/>
  <c r="K29" i="14"/>
  <c r="K30" i="14" s="1"/>
  <c r="J36" i="14"/>
  <c r="J42" i="14" s="1"/>
  <c r="I23" i="16"/>
  <c r="I24" i="16" s="1"/>
  <c r="H27" i="16"/>
  <c r="H29" i="16" s="1"/>
  <c r="H31" i="16" s="1"/>
  <c r="J30" i="14"/>
  <c r="G131" i="16"/>
  <c r="H24" i="16"/>
  <c r="M141" i="16"/>
  <c r="M142" i="16" s="1"/>
  <c r="L142" i="16"/>
  <c r="G88" i="16"/>
  <c r="G92" i="16"/>
  <c r="I78" i="16"/>
  <c r="I80" i="16" s="1"/>
  <c r="I82" i="16" s="1"/>
  <c r="I75" i="16"/>
  <c r="F41" i="16"/>
  <c r="F37" i="16"/>
  <c r="J14" i="16"/>
  <c r="G32" i="16"/>
  <c r="G36" i="16" s="1"/>
  <c r="G30" i="16"/>
  <c r="J84" i="16"/>
  <c r="J66" i="16"/>
  <c r="I125" i="16"/>
  <c r="I116" i="16"/>
  <c r="H81" i="16"/>
  <c r="H83" i="16"/>
  <c r="H87" i="16" s="1"/>
  <c r="E17" i="17"/>
  <c r="F17" i="17" s="1"/>
  <c r="H117" i="16"/>
  <c r="I15" i="16"/>
  <c r="H126" i="16"/>
  <c r="I37" i="14"/>
  <c r="L22" i="14"/>
  <c r="L25" i="14"/>
  <c r="L34" i="14"/>
  <c r="L13" i="14"/>
  <c r="L35" i="14"/>
  <c r="L26" i="14"/>
  <c r="L28" i="14"/>
  <c r="L33" i="14" s="1"/>
  <c r="M28" i="14"/>
  <c r="M33" i="14" s="1"/>
  <c r="M34" i="14"/>
  <c r="M13" i="14"/>
  <c r="M26" i="14"/>
  <c r="M35" i="14"/>
  <c r="P11" i="14"/>
  <c r="O20" i="14"/>
  <c r="O8" i="14"/>
  <c r="N17" i="14"/>
  <c r="N9" i="14"/>
  <c r="N12" i="14" s="1"/>
  <c r="M18" i="14"/>
  <c r="M21" i="14" s="1"/>
  <c r="O7" i="14"/>
  <c r="N16" i="14"/>
  <c r="J74" i="16" l="1"/>
  <c r="F139" i="16"/>
  <c r="F143" i="16"/>
  <c r="L13" i="16"/>
  <c r="K22" i="16"/>
  <c r="L63" i="16"/>
  <c r="K72" i="16"/>
  <c r="L62" i="16"/>
  <c r="L65" i="16" s="1"/>
  <c r="K71" i="16"/>
  <c r="L12" i="16"/>
  <c r="K21" i="16"/>
  <c r="L112" i="16"/>
  <c r="K121" i="16"/>
  <c r="L113" i="16"/>
  <c r="K122" i="16"/>
  <c r="M11" i="16"/>
  <c r="L20" i="16"/>
  <c r="M61" i="16"/>
  <c r="L70" i="16"/>
  <c r="M9" i="16"/>
  <c r="L18" i="16"/>
  <c r="L60" i="16"/>
  <c r="K69" i="16"/>
  <c r="J35" i="16"/>
  <c r="J28" i="16"/>
  <c r="J34" i="16"/>
  <c r="J26" i="16"/>
  <c r="L115" i="16"/>
  <c r="K124" i="16"/>
  <c r="K65" i="16"/>
  <c r="I130" i="16"/>
  <c r="I135" i="16" s="1"/>
  <c r="I136" i="16"/>
  <c r="I128" i="16"/>
  <c r="I129" i="16" s="1"/>
  <c r="I137" i="16"/>
  <c r="G133" i="16"/>
  <c r="G134" i="16" s="1"/>
  <c r="G138" i="16" s="1"/>
  <c r="N114" i="16"/>
  <c r="N123" i="16" s="1"/>
  <c r="M123" i="16"/>
  <c r="L64" i="16"/>
  <c r="K73" i="16"/>
  <c r="M111" i="16"/>
  <c r="L120" i="16"/>
  <c r="I27" i="16"/>
  <c r="G132" i="16"/>
  <c r="H131" i="16"/>
  <c r="J37" i="14"/>
  <c r="K31" i="14"/>
  <c r="K32" i="14" s="1"/>
  <c r="K36" i="14" s="1"/>
  <c r="K42" i="14" s="1"/>
  <c r="J23" i="16"/>
  <c r="J24" i="16" s="1"/>
  <c r="I29" i="16"/>
  <c r="H88" i="16"/>
  <c r="H92" i="16"/>
  <c r="K14" i="16"/>
  <c r="G41" i="16"/>
  <c r="G37" i="16"/>
  <c r="J78" i="16"/>
  <c r="J80" i="16" s="1"/>
  <c r="J82" i="16" s="1"/>
  <c r="J75" i="16"/>
  <c r="I81" i="16"/>
  <c r="I83" i="16"/>
  <c r="I87" i="16" s="1"/>
  <c r="I117" i="16"/>
  <c r="J15" i="16"/>
  <c r="J33" i="16"/>
  <c r="H32" i="16"/>
  <c r="H36" i="16" s="1"/>
  <c r="H30" i="16"/>
  <c r="J116" i="16"/>
  <c r="J125" i="16"/>
  <c r="I126" i="16"/>
  <c r="M22" i="14"/>
  <c r="M25" i="14"/>
  <c r="M27" i="14" s="1"/>
  <c r="M29" i="14" s="1"/>
  <c r="P7" i="14"/>
  <c r="O16" i="14"/>
  <c r="Q11" i="14"/>
  <c r="Q20" i="14" s="1"/>
  <c r="P20" i="14"/>
  <c r="N35" i="14"/>
  <c r="N26" i="14"/>
  <c r="N28" i="14"/>
  <c r="N33" i="14" s="1"/>
  <c r="N34" i="14"/>
  <c r="N13" i="14"/>
  <c r="O9" i="14"/>
  <c r="O12" i="14" s="1"/>
  <c r="N18" i="14"/>
  <c r="N21" i="14" s="1"/>
  <c r="L27" i="14"/>
  <c r="L29" i="14" s="1"/>
  <c r="P8" i="14"/>
  <c r="O17" i="14"/>
  <c r="K74" i="16" l="1"/>
  <c r="L86" i="16"/>
  <c r="L79" i="16"/>
  <c r="L85" i="16"/>
  <c r="L77" i="16"/>
  <c r="G143" i="16"/>
  <c r="G139" i="16"/>
  <c r="N111" i="16"/>
  <c r="N120" i="16" s="1"/>
  <c r="M120" i="16"/>
  <c r="J137" i="16"/>
  <c r="J130" i="16"/>
  <c r="J136" i="16"/>
  <c r="J128" i="16"/>
  <c r="J129" i="16" s="1"/>
  <c r="M64" i="16"/>
  <c r="L73" i="16"/>
  <c r="K86" i="16"/>
  <c r="K79" i="16"/>
  <c r="K84" i="16" s="1"/>
  <c r="K85" i="16"/>
  <c r="K77" i="16"/>
  <c r="K78" i="16" s="1"/>
  <c r="K80" i="16" s="1"/>
  <c r="K82" i="16" s="1"/>
  <c r="M113" i="16"/>
  <c r="L122" i="16"/>
  <c r="M63" i="16"/>
  <c r="L72" i="16"/>
  <c r="K66" i="16"/>
  <c r="N9" i="16"/>
  <c r="N18" i="16" s="1"/>
  <c r="M18" i="16"/>
  <c r="M13" i="16"/>
  <c r="L22" i="16"/>
  <c r="M62" i="16"/>
  <c r="L71" i="16"/>
  <c r="M60" i="16"/>
  <c r="M65" i="16" s="1"/>
  <c r="L69" i="16"/>
  <c r="L74" i="16" s="1"/>
  <c r="M112" i="16"/>
  <c r="L121" i="16"/>
  <c r="I30" i="16"/>
  <c r="I31" i="16"/>
  <c r="N11" i="16"/>
  <c r="N20" i="16" s="1"/>
  <c r="M20" i="16"/>
  <c r="H133" i="16"/>
  <c r="H134" i="16" s="1"/>
  <c r="H138" i="16" s="1"/>
  <c r="K35" i="16"/>
  <c r="K28" i="16"/>
  <c r="K34" i="16"/>
  <c r="K26" i="16"/>
  <c r="M115" i="16"/>
  <c r="L124" i="16"/>
  <c r="N61" i="16"/>
  <c r="N70" i="16" s="1"/>
  <c r="M70" i="16"/>
  <c r="M12" i="16"/>
  <c r="L21" i="16"/>
  <c r="H132" i="16"/>
  <c r="I131" i="16"/>
  <c r="K37" i="14"/>
  <c r="K23" i="16"/>
  <c r="K24" i="16" s="1"/>
  <c r="J27" i="16"/>
  <c r="J29" i="16" s="1"/>
  <c r="I32" i="16"/>
  <c r="I36" i="16" s="1"/>
  <c r="I37" i="16" s="1"/>
  <c r="K75" i="16"/>
  <c r="H41" i="16"/>
  <c r="H37" i="16"/>
  <c r="K33" i="16"/>
  <c r="K15" i="16"/>
  <c r="K116" i="16"/>
  <c r="K125" i="16"/>
  <c r="J135" i="16"/>
  <c r="J117" i="16"/>
  <c r="J81" i="16"/>
  <c r="J83" i="16"/>
  <c r="J87" i="16" s="1"/>
  <c r="L14" i="16"/>
  <c r="L84" i="16"/>
  <c r="L66" i="16"/>
  <c r="J126" i="16"/>
  <c r="I88" i="16"/>
  <c r="I92" i="16"/>
  <c r="N22" i="14"/>
  <c r="N25" i="14"/>
  <c r="N27" i="14" s="1"/>
  <c r="N29" i="14" s="1"/>
  <c r="O26" i="14"/>
  <c r="O35" i="14"/>
  <c r="O28" i="14"/>
  <c r="O33" i="14" s="1"/>
  <c r="O34" i="14"/>
  <c r="O13" i="14"/>
  <c r="Q8" i="14"/>
  <c r="Q17" i="14" s="1"/>
  <c r="P17" i="14"/>
  <c r="P9" i="14"/>
  <c r="P12" i="14" s="1"/>
  <c r="O18" i="14"/>
  <c r="O21" i="14" s="1"/>
  <c r="Q7" i="14"/>
  <c r="P16" i="14"/>
  <c r="M30" i="14"/>
  <c r="M31" i="14"/>
  <c r="M32" i="14" s="1"/>
  <c r="M36" i="14" s="1"/>
  <c r="L30" i="14"/>
  <c r="L31" i="14"/>
  <c r="L32" i="14" s="1"/>
  <c r="L36" i="14" s="1"/>
  <c r="H139" i="16" l="1"/>
  <c r="H143" i="16"/>
  <c r="N112" i="16"/>
  <c r="N121" i="16" s="1"/>
  <c r="M121" i="16"/>
  <c r="K137" i="16"/>
  <c r="K130" i="16"/>
  <c r="K135" i="16" s="1"/>
  <c r="K136" i="16"/>
  <c r="K128" i="16"/>
  <c r="K129" i="16" s="1"/>
  <c r="N12" i="16"/>
  <c r="N21" i="16" s="1"/>
  <c r="M21" i="16"/>
  <c r="L35" i="16"/>
  <c r="L28" i="16"/>
  <c r="L33" i="16" s="1"/>
  <c r="L26" i="16"/>
  <c r="L34" i="16"/>
  <c r="N64" i="16"/>
  <c r="N73" i="16" s="1"/>
  <c r="M73" i="16"/>
  <c r="N115" i="16"/>
  <c r="N124" i="16" s="1"/>
  <c r="M124" i="16"/>
  <c r="I133" i="16"/>
  <c r="I134" i="16" s="1"/>
  <c r="I138" i="16" s="1"/>
  <c r="N13" i="16"/>
  <c r="N22" i="16" s="1"/>
  <c r="M22" i="16"/>
  <c r="M86" i="16"/>
  <c r="M79" i="16"/>
  <c r="M84" i="16" s="1"/>
  <c r="M77" i="16"/>
  <c r="M85" i="16"/>
  <c r="J30" i="16"/>
  <c r="J31" i="16"/>
  <c r="J32" i="16" s="1"/>
  <c r="J36" i="16" s="1"/>
  <c r="J37" i="16" s="1"/>
  <c r="N60" i="16"/>
  <c r="N69" i="16" s="1"/>
  <c r="M69" i="16"/>
  <c r="N63" i="16"/>
  <c r="N72" i="16" s="1"/>
  <c r="M72" i="16"/>
  <c r="N62" i="16"/>
  <c r="N71" i="16" s="1"/>
  <c r="M71" i="16"/>
  <c r="N113" i="16"/>
  <c r="N122" i="16" s="1"/>
  <c r="M122" i="16"/>
  <c r="K27" i="16"/>
  <c r="K29" i="16" s="1"/>
  <c r="I132" i="16"/>
  <c r="L23" i="16"/>
  <c r="L24" i="16" s="1"/>
  <c r="I41" i="16"/>
  <c r="J88" i="16"/>
  <c r="J92" i="16"/>
  <c r="L75" i="16"/>
  <c r="L78" i="16"/>
  <c r="L80" i="16" s="1"/>
  <c r="L82" i="16" s="1"/>
  <c r="D19" i="17"/>
  <c r="M66" i="16"/>
  <c r="D18" i="17"/>
  <c r="L116" i="16"/>
  <c r="L125" i="16"/>
  <c r="M14" i="16"/>
  <c r="K117" i="16"/>
  <c r="L15" i="16"/>
  <c r="J131" i="16"/>
  <c r="J133" i="16" s="1"/>
  <c r="K81" i="16"/>
  <c r="K83" i="16"/>
  <c r="K87" i="16" s="1"/>
  <c r="K126" i="16"/>
  <c r="L37" i="14"/>
  <c r="L42" i="14"/>
  <c r="O22" i="14"/>
  <c r="O25" i="14"/>
  <c r="O27" i="14" s="1"/>
  <c r="O29" i="14" s="1"/>
  <c r="Q9" i="14"/>
  <c r="Q18" i="14" s="1"/>
  <c r="P18" i="14"/>
  <c r="P21" i="14" s="1"/>
  <c r="M37" i="14"/>
  <c r="M42" i="14"/>
  <c r="P13" i="14"/>
  <c r="P26" i="14"/>
  <c r="P34" i="14"/>
  <c r="P35" i="14"/>
  <c r="P28" i="14"/>
  <c r="P33" i="14" s="1"/>
  <c r="Q16" i="14"/>
  <c r="N30" i="14"/>
  <c r="N31" i="14"/>
  <c r="N32" i="14" s="1"/>
  <c r="N36" i="14" s="1"/>
  <c r="M74" i="16" l="1"/>
  <c r="I139" i="16"/>
  <c r="I143" i="16"/>
  <c r="K30" i="16"/>
  <c r="K31" i="16"/>
  <c r="K32" i="16" s="1"/>
  <c r="K36" i="16" s="1"/>
  <c r="K37" i="16" s="1"/>
  <c r="M35" i="16"/>
  <c r="M28" i="16"/>
  <c r="M33" i="16" s="1"/>
  <c r="M34" i="16"/>
  <c r="M26" i="16"/>
  <c r="L137" i="16"/>
  <c r="L130" i="16"/>
  <c r="L135" i="16" s="1"/>
  <c r="L128" i="16"/>
  <c r="L129" i="16" s="1"/>
  <c r="L136" i="16"/>
  <c r="J41" i="16"/>
  <c r="K131" i="16"/>
  <c r="M23" i="16"/>
  <c r="M24" i="16" s="1"/>
  <c r="C22" i="17" s="1"/>
  <c r="L27" i="16"/>
  <c r="L29" i="16" s="1"/>
  <c r="L31" i="16" s="1"/>
  <c r="Q12" i="14"/>
  <c r="Q35" i="14" s="1"/>
  <c r="N74" i="16"/>
  <c r="K88" i="16"/>
  <c r="K92" i="16"/>
  <c r="M75" i="16"/>
  <c r="D22" i="17" s="1"/>
  <c r="M78" i="16"/>
  <c r="M80" i="16" s="1"/>
  <c r="M82" i="16" s="1"/>
  <c r="L81" i="16"/>
  <c r="L83" i="16"/>
  <c r="L87" i="16" s="1"/>
  <c r="C18" i="17"/>
  <c r="C19" i="17"/>
  <c r="M15" i="16"/>
  <c r="J132" i="16"/>
  <c r="J134" i="16"/>
  <c r="J138" i="16" s="1"/>
  <c r="N14" i="16"/>
  <c r="N23" i="16"/>
  <c r="L117" i="16"/>
  <c r="L126" i="16"/>
  <c r="N65" i="16"/>
  <c r="M125" i="16"/>
  <c r="M116" i="16"/>
  <c r="P25" i="14"/>
  <c r="P27" i="14" s="1"/>
  <c r="P29" i="14" s="1"/>
  <c r="P22" i="14"/>
  <c r="N37" i="14"/>
  <c r="N42" i="14"/>
  <c r="O30" i="14"/>
  <c r="O31" i="14"/>
  <c r="O32" i="14" s="1"/>
  <c r="O36" i="14" s="1"/>
  <c r="Q21" i="14"/>
  <c r="M137" i="16" l="1"/>
  <c r="M130" i="16"/>
  <c r="M135" i="16" s="1"/>
  <c r="M136" i="16"/>
  <c r="M128" i="16"/>
  <c r="N86" i="16"/>
  <c r="N79" i="16"/>
  <c r="N84" i="16" s="1"/>
  <c r="N85" i="16"/>
  <c r="N77" i="16"/>
  <c r="N78" i="16" s="1"/>
  <c r="K132" i="16"/>
  <c r="K133" i="16"/>
  <c r="K134" i="16" s="1"/>
  <c r="K138" i="16" s="1"/>
  <c r="K143" i="16" s="1"/>
  <c r="N26" i="16"/>
  <c r="N35" i="16"/>
  <c r="N34" i="16"/>
  <c r="N28" i="16"/>
  <c r="M27" i="16"/>
  <c r="M29" i="16" s="1"/>
  <c r="Q28" i="14"/>
  <c r="Q33" i="14" s="1"/>
  <c r="Q34" i="14"/>
  <c r="Q26" i="14"/>
  <c r="K41" i="16"/>
  <c r="Q13" i="14"/>
  <c r="L92" i="16"/>
  <c r="L88" i="16"/>
  <c r="J139" i="16"/>
  <c r="J143" i="16"/>
  <c r="N125" i="16"/>
  <c r="N116" i="16"/>
  <c r="N24" i="16"/>
  <c r="N66" i="16"/>
  <c r="N75" i="16"/>
  <c r="N33" i="16"/>
  <c r="N27" i="16"/>
  <c r="N15" i="16"/>
  <c r="L30" i="16"/>
  <c r="L32" i="16"/>
  <c r="L36" i="16" s="1"/>
  <c r="L131" i="16"/>
  <c r="L133" i="16" s="1"/>
  <c r="E19" i="17"/>
  <c r="F19" i="17" s="1"/>
  <c r="M117" i="16"/>
  <c r="M129" i="16"/>
  <c r="E18" i="17"/>
  <c r="F18" i="17" s="1"/>
  <c r="M126" i="16"/>
  <c r="E22" i="17" s="1"/>
  <c r="F22" i="17" s="1"/>
  <c r="M83" i="16"/>
  <c r="M87" i="16" s="1"/>
  <c r="M81" i="16"/>
  <c r="D23" i="17" s="1"/>
  <c r="O37" i="14"/>
  <c r="O42" i="14"/>
  <c r="Q22" i="14"/>
  <c r="Q25" i="14"/>
  <c r="P31" i="14"/>
  <c r="P32" i="14" s="1"/>
  <c r="P36" i="14" s="1"/>
  <c r="P30" i="14"/>
  <c r="M30" i="16" l="1"/>
  <c r="C23" i="17" s="1"/>
  <c r="M31" i="16"/>
  <c r="N128" i="16"/>
  <c r="N137" i="16"/>
  <c r="N136" i="16"/>
  <c r="N130" i="16"/>
  <c r="N135" i="16" s="1"/>
  <c r="K139" i="16"/>
  <c r="M131" i="16"/>
  <c r="Q27" i="14"/>
  <c r="Q29" i="14" s="1"/>
  <c r="Q31" i="14" s="1"/>
  <c r="Q32" i="14" s="1"/>
  <c r="Q36" i="14" s="1"/>
  <c r="Q37" i="14" s="1"/>
  <c r="M32" i="16"/>
  <c r="M36" i="16" s="1"/>
  <c r="C25" i="17" s="1"/>
  <c r="N29" i="16"/>
  <c r="L37" i="16"/>
  <c r="L41" i="16"/>
  <c r="M92" i="16"/>
  <c r="D94" i="16" s="1"/>
  <c r="D25" i="17"/>
  <c r="D95" i="16"/>
  <c r="D96" i="16" s="1"/>
  <c r="D97" i="16" s="1"/>
  <c r="D29" i="17" s="1"/>
  <c r="M88" i="16"/>
  <c r="D24" i="17" s="1"/>
  <c r="N129" i="16"/>
  <c r="N117" i="16"/>
  <c r="N126" i="16"/>
  <c r="N80" i="16"/>
  <c r="N82" i="16" s="1"/>
  <c r="L132" i="16"/>
  <c r="L134" i="16"/>
  <c r="L138" i="16" s="1"/>
  <c r="F46" i="14"/>
  <c r="F47" i="14" s="1"/>
  <c r="F48" i="14" s="1"/>
  <c r="P37" i="14"/>
  <c r="P42" i="14"/>
  <c r="F45" i="14" s="1"/>
  <c r="D18" i="15" a="1"/>
  <c r="D18" i="15" s="1"/>
  <c r="G17" i="15" a="1"/>
  <c r="G17" i="15" s="1"/>
  <c r="D17" i="15" a="1"/>
  <c r="D17" i="15" s="1"/>
  <c r="H19" i="15" a="1"/>
  <c r="H19" i="15" s="1"/>
  <c r="C9" i="15" a="1"/>
  <c r="C9" i="15" s="1"/>
  <c r="C19" i="15" a="1"/>
  <c r="C19" i="15" s="1"/>
  <c r="G21" i="15" a="1"/>
  <c r="G21" i="15" s="1"/>
  <c r="F20" i="15" a="1"/>
  <c r="F20" i="15" s="1"/>
  <c r="F11" i="15" a="1"/>
  <c r="F11" i="15" s="1"/>
  <c r="D20" i="15" a="1"/>
  <c r="D20" i="15" s="1"/>
  <c r="D10" i="15" a="1"/>
  <c r="D10" i="15" s="1"/>
  <c r="H11" i="15" a="1"/>
  <c r="H11" i="15" s="1"/>
  <c r="G18" i="15" a="1"/>
  <c r="G18" i="15" s="1"/>
  <c r="G20" i="15" a="1"/>
  <c r="G20" i="15" s="1"/>
  <c r="F10" i="15" a="1"/>
  <c r="F10" i="15" s="1"/>
  <c r="G19" i="15" a="1"/>
  <c r="G19" i="15" s="1"/>
  <c r="C10" i="15" a="1"/>
  <c r="C10" i="15" s="1"/>
  <c r="H21" i="15" a="1"/>
  <c r="H21" i="15" s="1"/>
  <c r="D9" i="15" a="1"/>
  <c r="D9" i="15" s="1"/>
  <c r="C17" i="15" a="1"/>
  <c r="C17" i="15" s="1"/>
  <c r="H18" i="15" a="1"/>
  <c r="H18" i="15" s="1"/>
  <c r="C18" i="15" a="1"/>
  <c r="C18" i="15" s="1"/>
  <c r="D19" i="15" a="1"/>
  <c r="D19" i="15" s="1"/>
  <c r="C11" i="15" a="1"/>
  <c r="C11" i="15" s="1"/>
  <c r="E19" i="15" a="1"/>
  <c r="E19" i="15" s="1"/>
  <c r="H17" i="15" a="1"/>
  <c r="H17" i="15" s="1"/>
  <c r="H13" i="15" a="1"/>
  <c r="H13" i="15" s="1"/>
  <c r="E10" i="15" a="1"/>
  <c r="E10" i="15" s="1"/>
  <c r="H20" i="15" a="1"/>
  <c r="H20" i="15" s="1"/>
  <c r="E9" i="15" a="1"/>
  <c r="E9" i="15" s="1"/>
  <c r="C20" i="15" a="1"/>
  <c r="C20" i="15" s="1"/>
  <c r="G10" i="15" a="1"/>
  <c r="G10" i="15" s="1"/>
  <c r="E11" i="15" a="1"/>
  <c r="E11" i="15" s="1"/>
  <c r="E17" i="15" a="1"/>
  <c r="E17" i="15" s="1"/>
  <c r="D11" i="15" a="1"/>
  <c r="D11" i="15" s="1"/>
  <c r="G13" i="15" a="1"/>
  <c r="G13" i="15" s="1"/>
  <c r="C12" i="15" a="1"/>
  <c r="C12" i="15" s="1"/>
  <c r="E18" i="15" a="1"/>
  <c r="E18" i="15" s="1"/>
  <c r="D12" i="15" a="1"/>
  <c r="D12" i="15" s="1"/>
  <c r="F19" i="15" a="1"/>
  <c r="F19" i="15" s="1"/>
  <c r="E21" i="15" a="1"/>
  <c r="E21" i="15" s="1"/>
  <c r="E13" i="15" a="1"/>
  <c r="E13" i="15" s="1"/>
  <c r="F17" i="15" a="1"/>
  <c r="F17" i="15" s="1"/>
  <c r="F18" i="15" a="1"/>
  <c r="F18" i="15" s="1"/>
  <c r="G12" i="15" a="1"/>
  <c r="G12" i="15" s="1"/>
  <c r="G9" i="15" a="1"/>
  <c r="G9" i="15" s="1"/>
  <c r="E12" i="15" a="1"/>
  <c r="E12" i="15" s="1"/>
  <c r="F13" i="15" a="1"/>
  <c r="F13" i="15" s="1"/>
  <c r="D13" i="15" a="1"/>
  <c r="D13" i="15" s="1"/>
  <c r="G11" i="15" a="1"/>
  <c r="G11" i="15" s="1"/>
  <c r="C13" i="15" a="1"/>
  <c r="C13" i="15" s="1"/>
  <c r="F9" i="15" a="1"/>
  <c r="F9" i="15" s="1"/>
  <c r="H9" i="15" a="1"/>
  <c r="H9" i="15" s="1"/>
  <c r="E20" i="15" a="1"/>
  <c r="E20" i="15" s="1"/>
  <c r="F12" i="15" a="1"/>
  <c r="F12" i="15" s="1"/>
  <c r="D21" i="15" a="1"/>
  <c r="D21" i="15" s="1"/>
  <c r="H10" i="15" a="1"/>
  <c r="H10" i="15" s="1"/>
  <c r="F21" i="15" a="1"/>
  <c r="F21" i="15" s="1"/>
  <c r="C21" i="15" a="1"/>
  <c r="C21" i="15" s="1"/>
  <c r="H12" i="15" a="1"/>
  <c r="H12" i="15" s="1"/>
  <c r="M132" i="16" l="1"/>
  <c r="E23" i="17" s="1"/>
  <c r="F23" i="17" s="1"/>
  <c r="M133" i="16"/>
  <c r="N30" i="16"/>
  <c r="N31" i="16"/>
  <c r="N32" i="16" s="1"/>
  <c r="N36" i="16" s="1"/>
  <c r="N37" i="16" s="1"/>
  <c r="M134" i="16"/>
  <c r="M138" i="16" s="1"/>
  <c r="D146" i="16" s="1"/>
  <c r="D147" i="16" s="1"/>
  <c r="D148" i="16" s="1"/>
  <c r="E29" i="17" s="1"/>
  <c r="F29" i="17" s="1"/>
  <c r="N131" i="16"/>
  <c r="Q30" i="14"/>
  <c r="M37" i="16"/>
  <c r="C24" i="17" s="1"/>
  <c r="M41" i="16"/>
  <c r="D43" i="16" s="1"/>
  <c r="D44" i="16"/>
  <c r="D45" i="16" s="1"/>
  <c r="D46" i="16" s="1"/>
  <c r="C29" i="17" s="1"/>
  <c r="L143" i="16"/>
  <c r="L139" i="16"/>
  <c r="D28" i="17"/>
  <c r="D98" i="16"/>
  <c r="N83" i="16"/>
  <c r="N87" i="16" s="1"/>
  <c r="N88" i="16" s="1"/>
  <c r="N81" i="16"/>
  <c r="F49" i="14"/>
  <c r="F52" i="14" s="1"/>
  <c r="F54" i="14" s="1"/>
  <c r="C12" i="19" s="1"/>
  <c r="N133" i="16" l="1"/>
  <c r="N134" i="16" s="1"/>
  <c r="N138" i="16" s="1"/>
  <c r="N139" i="16" s="1"/>
  <c r="M139" i="16"/>
  <c r="E24" i="17" s="1"/>
  <c r="F24" i="17" s="1"/>
  <c r="E25" i="17"/>
  <c r="F25" i="17" s="1"/>
  <c r="M143" i="16"/>
  <c r="D145" i="16" s="1"/>
  <c r="N132" i="16"/>
  <c r="I3" i="14"/>
  <c r="I3" i="15"/>
  <c r="D47" i="16"/>
  <c r="C28" i="17"/>
  <c r="D101" i="16"/>
  <c r="D30" i="17"/>
  <c r="F56" i="14"/>
  <c r="B6" i="17"/>
  <c r="A5" i="15" l="1"/>
  <c r="C13" i="19"/>
  <c r="F6" i="17"/>
  <c r="K3" i="14"/>
  <c r="D50" i="16"/>
  <c r="C30" i="17"/>
  <c r="E28" i="17"/>
  <c r="F28" i="17" s="1"/>
  <c r="D149" i="16"/>
  <c r="D33" i="17"/>
  <c r="D103" i="16"/>
  <c r="D40" i="19" s="1"/>
  <c r="C33" i="17" l="1"/>
  <c r="D52" i="16"/>
  <c r="D39" i="19" s="1"/>
  <c r="D37" i="17"/>
  <c r="D105" i="16"/>
  <c r="D152" i="16"/>
  <c r="C42" i="17" s="1"/>
  <c r="C43" i="17" s="1"/>
  <c r="E30" i="17"/>
  <c r="F30" i="17" s="1"/>
  <c r="F43" i="17" l="1"/>
  <c r="E13" i="19" s="1"/>
  <c r="D12" i="19"/>
  <c r="D39" i="17"/>
  <c r="E40" i="19"/>
  <c r="E12" i="19"/>
  <c r="D13" i="19"/>
  <c r="D54" i="16"/>
  <c r="C37" i="17"/>
  <c r="D154" i="16"/>
  <c r="D41" i="19" s="1"/>
  <c r="E33" i="17"/>
  <c r="F33" i="17" s="1"/>
  <c r="C39" i="17" l="1"/>
  <c r="E39" i="19"/>
  <c r="E37" i="17"/>
  <c r="F37" i="17" s="1"/>
  <c r="D156" i="16"/>
  <c r="E39" i="17" l="1"/>
  <c r="F39" i="17" s="1"/>
  <c r="E41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<sst xmlns="http://schemas.openxmlformats.org/spreadsheetml/2006/main" count="1070" uniqueCount="428">
  <si>
    <t>Particulars</t>
  </si>
  <si>
    <t>FY22</t>
  </si>
  <si>
    <t>Right-of-use assets</t>
  </si>
  <si>
    <t>Capital work-in-progress</t>
  </si>
  <si>
    <t>Goodwill</t>
  </si>
  <si>
    <t>Other non-current assets</t>
  </si>
  <si>
    <t>Eternal Limited (formerly Zomato Limited) — Consolidated Balance Sheet</t>
  </si>
  <si>
    <t>As at March 31 of each fiscal year. All values in INR crores (1 crore = 10 million).</t>
  </si>
  <si>
    <t>₹ Cr</t>
  </si>
  <si>
    <t>FY23</t>
  </si>
  <si>
    <t>FY24</t>
  </si>
  <si>
    <t>FY25</t>
  </si>
  <si>
    <t>ASSETS</t>
  </si>
  <si>
    <t>Non-current assets</t>
  </si>
  <si>
    <t>Property, plant and equipment</t>
  </si>
  <si>
    <t>Other intangible assets</t>
  </si>
  <si>
    <t>Intangible assets under development</t>
  </si>
  <si>
    <t>Investments (non-current)</t>
  </si>
  <si>
    <t>Other financial assets (non-current)</t>
  </si>
  <si>
    <t>Tax assets (net)</t>
  </si>
  <si>
    <t>Total non-current assets</t>
  </si>
  <si>
    <t>Current assets</t>
  </si>
  <si>
    <t>Inventories</t>
  </si>
  <si>
    <t>Investments (current)</t>
  </si>
  <si>
    <t>Trade receivables</t>
  </si>
  <si>
    <t>Cash and cash equivalents</t>
  </si>
  <si>
    <t>Bank balances other than cash and cash equivalents</t>
  </si>
  <si>
    <t>Loans (current)</t>
  </si>
  <si>
    <t>Other financial assets (current)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</si>
  <si>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</si>
  <si>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</si>
  <si>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</si>
  <si>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</si>
  <si>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</si>
  <si>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</si>
  <si>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</si>
  <si>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Equity attributable to owners of the Parent</t>
  </si>
  <si>
    <t>Non-controlling interests</t>
  </si>
  <si>
    <t>Total equity</t>
  </si>
  <si>
    <t>Liabilities</t>
  </si>
  <si>
    <t>Non-current liabilities</t>
  </si>
  <si>
    <t>Borrowings (non-current)</t>
  </si>
  <si>
    <t>Lease liabilities (non-current)</t>
  </si>
  <si>
    <t>Other financial liabilities (non-current)</t>
  </si>
  <si>
    <t>Provisions (non-current)</t>
  </si>
  <si>
    <t>Deferred tax liabilities</t>
  </si>
  <si>
    <t>Other non-current liabilities</t>
  </si>
  <si>
    <t>Total non-current liabilities</t>
  </si>
  <si>
    <t>Current liabilities</t>
  </si>
  <si>
    <t>Borrowings (current)</t>
  </si>
  <si>
    <t>Lease liabilities (current)</t>
  </si>
  <si>
    <t>Trade payables - micro &amp; small enterprises</t>
  </si>
  <si>
    <t>Trade payables - others</t>
  </si>
  <si>
    <t>Other financial liabilities (current)</t>
  </si>
  <si>
    <t>Other current liabilities</t>
  </si>
  <si>
    <t>Provisions (current)</t>
  </si>
  <si>
    <t>Total current liabilities</t>
  </si>
  <si>
    <t>Total liabilities</t>
  </si>
  <si>
    <t>Total equity and liabilities</t>
  </si>
  <si>
    <t>Eternal Limited (formerly Zomato Limited) — Consolidated Statement of Profit and Loss</t>
  </si>
  <si>
    <t>For the year ended March 31. All values in INR crores (1 crore = 10 million).</t>
  </si>
  <si>
    <t>INCOME</t>
  </si>
  <si>
    <t>Revenue from operations</t>
  </si>
  <si>
    <t>Other income</t>
  </si>
  <si>
    <t>Total income (I)</t>
  </si>
  <si>
    <t>EXPENSES</t>
  </si>
  <si>
    <t>Purchase of stock-in-trade</t>
  </si>
  <si>
    <t>Changes in inventories of stock-in-trade</t>
  </si>
  <si>
    <t>Employee benefits expense</t>
  </si>
  <si>
    <t>Finance costs</t>
  </si>
  <si>
    <t>Depreciation and amortisation expense</t>
  </si>
  <si>
    <t>Other expenses</t>
  </si>
  <si>
    <t>Total expenses (II)</t>
  </si>
  <si>
    <t>Profit / (loss) before share of P/(L) of associate, exceptional items and tax (III=I-II)</t>
  </si>
  <si>
    <t>Share of profit / (loss) of an associate and joint venture (IV)</t>
  </si>
  <si>
    <t>Profit / (loss) before exceptional items and tax (V=III+IV)</t>
  </si>
  <si>
    <t>Exceptional items (VI)</t>
  </si>
  <si>
    <t>Profit / (loss) before tax (VII=V-VI)</t>
  </si>
  <si>
    <t>Tax expense:</t>
  </si>
  <si>
    <t>Current tax</t>
  </si>
  <si>
    <t>Deferred tax</t>
  </si>
  <si>
    <t>Total tax expense (VIII)</t>
  </si>
  <si>
    <t>Profit / (loss) for the year (IX=VII-VIII)</t>
  </si>
  <si>
    <t>Other comprehensive income / (loss) for the year (XII)</t>
  </si>
  <si>
    <t>Total comprehensive income / (loss) for the year (XIII=IX+XII)</t>
  </si>
  <si>
    <t>Profit / (loss) attributable to:</t>
  </si>
  <si>
    <t>Owners of the Parent</t>
  </si>
  <si>
    <t>Non-controlling interest</t>
  </si>
  <si>
    <t>Earnings / (loss) per equity share (face value INR 1)</t>
  </si>
  <si>
    <t>Basic (INR)</t>
  </si>
  <si>
    <t>₹</t>
  </si>
  <si>
    <t>Diluted (INR)</t>
  </si>
  <si>
    <t>Eternal Limited (formerly Zomato Limited) — Consolidated Statement of Cash Flows</t>
  </si>
  <si>
    <t>A) CASH FLOWS FROM OPERATING ACTIVITIES</t>
  </si>
  <si>
    <t>Profit / (loss) before tax</t>
  </si>
  <si>
    <t>Adjustments for non-cash items (net)</t>
  </si>
  <si>
    <t>Operating profit / (loss) before working capital changes</t>
  </si>
  <si>
    <t>Movements in working capital (net)</t>
  </si>
  <si>
    <t>Cash generated from / (used in) operations</t>
  </si>
  <si>
    <t>Income taxes (paid) / refund (net)</t>
  </si>
  <si>
    <t>Net cash from / (used in) operating activities (A)</t>
  </si>
  <si>
    <t>B) CASH FLOWS FROM INVESTING ACTIVITIES</t>
  </si>
  <si>
    <t>Purchase of property, plant and equipment (incl. CWIP, capital advances)</t>
  </si>
  <si>
    <t>Proceeds from sale of property, plant and equipment</t>
  </si>
  <si>
    <t>Net (investments in) / proceeds from bank deposits (&gt;3 months)</t>
  </si>
  <si>
    <t>Net (investments in) / proceeds from mutual funds</t>
  </si>
  <si>
    <t>Net (investments in) / proceeds from government securities</t>
  </si>
  <si>
    <t>Net (investments in) / proceeds from debentures and bonds</t>
  </si>
  <si>
    <t>Loans given / (received back)</t>
  </si>
  <si>
    <t>Interest received</t>
  </si>
  <si>
    <t>Net cash from / (used in) investing activities (B)</t>
  </si>
  <si>
    <t>C) CASH FLOWS FROM FINANCING ACTIVITIES</t>
  </si>
  <si>
    <t>Proceeds from issue of equity shares (incl. CCCPS in FY22)</t>
  </si>
  <si>
    <t>Transaction costs paid on issue of shares</t>
  </si>
  <si>
    <t>Borrowings taken / (repaid) (net)</t>
  </si>
  <si>
    <t>Share-based payment on cancellation / cash settlement of options</t>
  </si>
  <si>
    <t>ESOP trust collections (net of tax)</t>
  </si>
  <si>
    <t>Payment of principal portion of lease liabilities</t>
  </si>
  <si>
    <t>Payment of interest portion of lease liabilities</t>
  </si>
  <si>
    <t>Other interest paid</t>
  </si>
  <si>
    <t>Net cash from / (used in) financing activities (C)</t>
  </si>
  <si>
    <t>NET CHANGE IN CASH AND CASH EQUIVALENTS</t>
  </si>
  <si>
    <t>Net increase / (decrease) in cash and cash equivalents (A+B+C)</t>
  </si>
  <si>
    <t>Cash acquired through business combination / (transferred on disposal)</t>
  </si>
  <si>
    <t>Net foreign exchange difference (incl. hyperinflation impact)</t>
  </si>
  <si>
    <t>Cash and cash equivalents at beginning of the year</t>
  </si>
  <si>
    <t>Cash and cash equivalents at end of the year</t>
  </si>
  <si>
    <t>Eternal Limited (formerly Zomato Limited) — Consolidated Statement of Changes in Equity</t>
  </si>
  <si>
    <t>Closing balances as at March 31. All values in INR crores (1 crore = 10 million).</t>
  </si>
  <si>
    <t>EQUITY SHARE CAPITAL</t>
  </si>
  <si>
    <t>Share capital — issued (gross)</t>
  </si>
  <si>
    <t>Less: Held by ESOP Trust (treasury shares)</t>
  </si>
  <si>
    <t>Equity share capital outstanding</t>
  </si>
  <si>
    <t>OTHER EQUITY — by component</t>
  </si>
  <si>
    <t>Capital reserve</t>
  </si>
  <si>
    <t>Share-based payment reserve</t>
  </si>
  <si>
    <t>Securities premium</t>
  </si>
  <si>
    <t>Retained earnings</t>
  </si>
  <si>
    <t>Treasury shares (held by ESOP Trust)</t>
  </si>
  <si>
    <t>Equity instruments through OCI</t>
  </si>
  <si>
    <t>Debt instruments through OCI</t>
  </si>
  <si>
    <t>Foreign currency translation reserve</t>
  </si>
  <si>
    <t>Remeasurements of the defined benefit plans</t>
  </si>
  <si>
    <t>Total other equity</t>
  </si>
  <si>
    <t>EQUITY ATTRIBUTABLE TO OWNERS OF THE PARENT</t>
  </si>
  <si>
    <t>TOTAL EQUITY</t>
  </si>
  <si>
    <t>ROLL-FORWARD SUMMARY (Total equity)</t>
  </si>
  <si>
    <t>Opening balance</t>
  </si>
  <si>
    <t>Profit / (loss) for the year</t>
  </si>
  <si>
    <t>Other comprehensive income / (loss)</t>
  </si>
  <si>
    <t>Issue of equity shares (net of transaction costs)</t>
  </si>
  <si>
    <t>Share-based payment expense (incl. ESOP movements)</t>
  </si>
  <si>
    <t>Other movements (NCI changes, transaction costs, bonus issue)</t>
  </si>
  <si>
    <t>Closing balance</t>
  </si>
  <si>
    <t>share-based payment on cancellation / cash settlement of options</t>
  </si>
  <si>
    <t>Eternal Limited (formerly Zomato Limited) — DCF Valuation Assumptions</t>
  </si>
  <si>
    <t>Valuation date: 5 May 2026. All financials in INR crores unless stated. Forecast period: FY26E–FY35E + Terminal.</t>
  </si>
  <si>
    <t>Unit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</si>
  <si>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</si>
  <si>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</si>
  <si>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</si>
  <si>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</si>
  <si>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</si>
  <si>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</si>
  <si>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</si>
  <si>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</si>
  <si>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</si>
  <si>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</si>
  <si>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</si>
  <si>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</si>
  <si>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</si>
  <si>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</si>
  <si>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Terminal</t>
  </si>
  <si>
    <t>MARKET &amp; CAPITAL STRUCTURE</t>
  </si>
  <si>
    <t>Valuation date</t>
  </si>
  <si>
    <t>Current share price (NSE: ETERNAL)</t>
  </si>
  <si>
    <t>Shares outstanding</t>
  </si>
  <si>
    <t>cr</t>
  </si>
  <si>
    <t>Market capitalisation</t>
  </si>
  <si>
    <t>Total debt (lease liab. + borrowings)</t>
  </si>
  <si>
    <t>Cash, bank &amp; investments</t>
  </si>
  <si>
    <t>Total capital (Equity + Debt)</t>
  </si>
  <si>
    <t>WACC BUILD</t>
  </si>
  <si>
    <t>Risk-free rate (10Y India G-Sec)</t>
  </si>
  <si>
    <t>%</t>
  </si>
  <si>
    <t>Equity Risk Premium (India)</t>
  </si>
  <si>
    <t>Beta (levered, forward-looking)</t>
  </si>
  <si>
    <t>x</t>
  </si>
  <si>
    <t>Cost of equity (CAPM)</t>
  </si>
  <si>
    <t>Pre-tax cost of debt</t>
  </si>
  <si>
    <t>Statutory tax rate (Section 115BAA)</t>
  </si>
  <si>
    <t>After-tax cost of debt</t>
  </si>
  <si>
    <t>Weight of equity (E/V)</t>
  </si>
  <si>
    <t>Weight of debt (D/V)</t>
  </si>
  <si>
    <t>WACC</t>
  </si>
  <si>
    <t>TERMINAL ASSUMPTIONS</t>
  </si>
  <si>
    <t>Forecast horizon</t>
  </si>
  <si>
    <t>yrs</t>
  </si>
  <si>
    <t>Terminal growth rate (perpetual)</t>
  </si>
  <si>
    <t>Terminal effective tax rate</t>
  </si>
  <si>
    <t>Food Delivery</t>
  </si>
  <si>
    <t>Hyperpure (B2B supplies)</t>
  </si>
  <si>
    <t>Quick Commerce (Blinkit)</t>
  </si>
  <si>
    <t>Going Out</t>
  </si>
  <si>
    <t>All other segments</t>
  </si>
  <si>
    <t>SEGMENT MARGIN — Segment Result % of Segment Revenue</t>
  </si>
  <si>
    <t>CONSOLIDATED RATIOS (% of Revenue unless stated)</t>
  </si>
  <si>
    <t>Share-based payment expense (SBP)</t>
  </si>
  <si>
    <t>Depreciation &amp; amortisation (D&amp;A)</t>
  </si>
  <si>
    <t>Capital expenditure (Capex)</t>
  </si>
  <si>
    <t>Change in NWC (% of Δ revenue)</t>
  </si>
  <si>
    <t>Effective tax rate</t>
  </si>
  <si>
    <t>Other income (treasury yield)</t>
  </si>
  <si>
    <t>Eternal Limited — DCF Valuation Model</t>
  </si>
  <si>
    <t>FCFF approach. Forecast FY26E–FY35E + Gordon growth terminal value. All values in INR crores.</t>
  </si>
  <si>
    <t>SEGMENT REVENUE</t>
  </si>
  <si>
    <t>Total Revenue from Operations</t>
  </si>
  <si>
    <t>YoY revenue growth</t>
  </si>
  <si>
    <t>SEGMENT RESULTS (≈ Adj. EBITDA)</t>
  </si>
  <si>
    <t>Total Adj. EBITDA</t>
  </si>
  <si>
    <t>Adj. EBITDA margin</t>
  </si>
  <si>
    <t>Total Adj. EBITDA (segment results)</t>
  </si>
  <si>
    <t>Less: Share-based payment expense</t>
  </si>
  <si>
    <t>Reported EBITDA</t>
  </si>
  <si>
    <t>Less: Depreciation &amp; amortisation</t>
  </si>
  <si>
    <t>EBIT</t>
  </si>
  <si>
    <t>EBIT margin</t>
  </si>
  <si>
    <t>Less: Cash tax on EBIT</t>
  </si>
  <si>
    <t>NOPAT</t>
  </si>
  <si>
    <t>Plus: D&amp;A (add-back)</t>
  </si>
  <si>
    <t>Less: Capital expenditure</t>
  </si>
  <si>
    <t>Less: Change in NWC</t>
  </si>
  <si>
    <t>Free Cash Flow to Firm (FCFF)</t>
  </si>
  <si>
    <t>FCFF margin</t>
  </si>
  <si>
    <t>PRESENT VALUE OF FCFF</t>
  </si>
  <si>
    <t>Forecast year (t)</t>
  </si>
  <si>
    <t>#</t>
  </si>
  <si>
    <t>Discount factor</t>
  </si>
  <si>
    <t>PV of FCFF</t>
  </si>
  <si>
    <t>TERMINAL VALUE &amp; EQUITY BRIDGE</t>
  </si>
  <si>
    <t>Sum of PV of explicit FCFF (FY26E–FY35E)</t>
  </si>
  <si>
    <t>Terminal year FCFF (FY35E × (1+g))</t>
  </si>
  <si>
    <t>Terminal Value (Gordon growth)</t>
  </si>
  <si>
    <t>PV of Terminal Value</t>
  </si>
  <si>
    <t>Enterprise Value</t>
  </si>
  <si>
    <t>Less: Total debt</t>
  </si>
  <si>
    <t>Plus: Cash, bank balances &amp; investments</t>
  </si>
  <si>
    <t>Equity Value</t>
  </si>
  <si>
    <t>Implied per share value</t>
  </si>
  <si>
    <t>Current share price</t>
  </si>
  <si>
    <t>Implied upside / (downside)</t>
  </si>
  <si>
    <t>Eternal Limited — DCF Sensitivity Analysis</t>
  </si>
  <si>
    <t>Two-way sensitivity tables for implied per share value (₹).</t>
  </si>
  <si>
    <t>SENSITIVITY 1: Implied Per Share Value (₹) — WACC × Terminal Growth</t>
  </si>
  <si>
    <t>Terminal growth ↓ / WACC →</t>
  </si>
  <si>
    <t>SENSITIVITY 2: Implied Per Share Value (₹) — WACC × Terminal Adj. EBITDA Margin</t>
  </si>
  <si>
    <t>Terminal margin ↓ / WACC →</t>
  </si>
  <si>
    <t>INTERPRETATION</t>
  </si>
  <si>
    <t>• Current market price of ₹251 implies long-run EBITDA margin &gt;18% AND/OR terminal growth &gt;7%, OR a lower WACC than modelled.</t>
  </si>
  <si>
    <t>• Base case (WACC 13.02%, g 5.00%, term margin 13.4%) implies ₹88/share — significantly below market.</t>
  </si>
  <si>
    <t>• Use Assumptions!F15:F17 to flex WACC inputs; G32:Q43 to flex segment growth and margin paths.</t>
  </si>
  <si>
    <t>Scenario Control</t>
  </si>
  <si>
    <t>Active scenario:</t>
  </si>
  <si>
    <t>Case name:</t>
  </si>
  <si>
    <t>Base</t>
  </si>
  <si>
    <t>Optimistic</t>
  </si>
  <si>
    <t>Pessimistic</t>
  </si>
  <si>
    <t>Beta — case input</t>
  </si>
  <si>
    <t>Terminal g — case input</t>
  </si>
  <si>
    <t>BASE CASE</t>
  </si>
  <si>
    <t>Segment revenue growth (% YoY)</t>
  </si>
  <si>
    <t>Segment Result margin (% of segment revenue)</t>
  </si>
  <si>
    <t>OPTIMISTIC CASE</t>
  </si>
  <si>
    <t>PESSIMISTIC CASE</t>
  </si>
  <si>
    <t>Cost of equity — case</t>
  </si>
  <si>
    <t>WACC — case</t>
  </si>
  <si>
    <t>Eternal Limited (formerly Zomato Limited) — Scenario DCF Engines</t>
  </si>
  <si>
    <t>Three parallel FCFF DCFs running off Base / Optimistic / Pessimistic driver inputs from the Assumptions sheet. All values in INR crores unless stated.</t>
  </si>
  <si>
    <t>Eternal Limited (formerly Zomato Limited) — DCF Valuation Summary</t>
  </si>
  <si>
    <t>Three-case scenario DCF — base / optimistic / pessimistic. All values in INR crores unless stated. Valuation date: 5-May-2026.</t>
  </si>
  <si>
    <t>ACTIVE SCENARIO (live link to toggle)</t>
  </si>
  <si>
    <t>Active case</t>
  </si>
  <si>
    <t>Active upside / (downside)</t>
  </si>
  <si>
    <t>SCENARIO COMPARISON</t>
  </si>
  <si>
    <t>Metric</t>
  </si>
  <si>
    <t>Opt – Pess range</t>
  </si>
  <si>
    <t>Cost of capital &amp; terminal</t>
  </si>
  <si>
    <t>Beta (levered)</t>
  </si>
  <si>
    <t>Terminal growth (perpetual)</t>
  </si>
  <si>
    <t>Revenue trajectory</t>
  </si>
  <si>
    <t>FY26E Total Revenue</t>
  </si>
  <si>
    <t>FY30E Total Revenue</t>
  </si>
  <si>
    <t>FY35E Total Revenue</t>
  </si>
  <si>
    <t>Revenue CAGR FY25–FY35</t>
  </si>
  <si>
    <t>Steady-state profitability (FY35E)</t>
  </si>
  <si>
    <t>FY35E FCFF</t>
  </si>
  <si>
    <t>Valuation bridge</t>
  </si>
  <si>
    <t>Sum of PV of explicit FCFF</t>
  </si>
  <si>
    <t>Plus: Cash &amp; investments</t>
  </si>
  <si>
    <t>Per share</t>
  </si>
  <si>
    <t>INVESTMENT VIEW</t>
  </si>
  <si>
    <t>Probability-weighted equity value (40% Base / 35% Opt / 25% Pess)</t>
  </si>
  <si>
    <t>Probability-weighted implied per share</t>
  </si>
  <si>
    <t>vs current price</t>
  </si>
  <si>
    <t>Probability weights are illustrative and editable here:</t>
  </si>
  <si>
    <t>Base weight</t>
  </si>
  <si>
    <t>Optimistic weight</t>
  </si>
  <si>
    <t>Pessimistic weight</t>
  </si>
  <si>
    <t>Sum check (must = 100%)</t>
  </si>
  <si>
    <t>KEY TAKEAWAYS</t>
  </si>
  <si>
    <t>1. Valuation is highly sensitive to long-run profitability and segment growth — the optimistic / pessimistic spread is wide.</t>
  </si>
  <si>
    <t>2. Quick Commerce (Blinkit) economics are the single largest swing factor: terminal margin assumed 15% (Base) vs 19% (Opt) vs 11% (Pess).</t>
  </si>
  <si>
    <t>3. Base case implies meaningful downside vs market, suggesting consensus prices in faster scaling and higher steady-state margins than the Base assumptions.</t>
  </si>
  <si>
    <t>4. Cross-check: review Sensitivity sheet for WACC × terminal-g grid and Scenarios sheet for full P&amp;L bridges.</t>
  </si>
  <si>
    <t>Toggle (1=Base / 2=Opt / 3=Pess):</t>
  </si>
  <si>
    <t>Active implied / share</t>
  </si>
  <si>
    <t>WACC:</t>
  </si>
  <si>
    <t>Term g:</t>
  </si>
  <si>
    <t>Implied / share:</t>
  </si>
  <si>
    <t>Term g</t>
  </si>
  <si>
    <t>Implied / share</t>
  </si>
  <si>
    <t>Upside</t>
  </si>
  <si>
    <t>Active case:</t>
  </si>
  <si>
    <t>(Toggle scenarios in Assumptions!T6 — 1=Base, 2=Opt, 3=Pess. Each block below is computed independently from its case inputs.)</t>
  </si>
  <si>
    <t>SCENARIO INPUTS BY CASE — Edit values for each case; Active rows above pull via toggle</t>
  </si>
  <si>
    <t>To switch active scenario, change Summary!F5 (or Assumptions T6 — both linked) to 1=Base, 2=Optimistic, 3=Pessimistic</t>
  </si>
  <si>
    <t>Food Delivery — Base</t>
  </si>
  <si>
    <t>— Optimistic</t>
  </si>
  <si>
    <t>— Pessimistic</t>
  </si>
  <si>
    <t>Hyperpure (B2B supplies) — Base</t>
  </si>
  <si>
    <t>Quick Commerce (Blinkit) — Base</t>
  </si>
  <si>
    <t>Going Out — Base</t>
  </si>
  <si>
    <t>All other segments — Base</t>
  </si>
  <si>
    <t>Consolidated ratios (% of revenue unless stated)</t>
  </si>
  <si>
    <t>Share-based payment expense (SBP) — Base</t>
  </si>
  <si>
    <t>Depreciation &amp; amortisation (D&amp;A) — Base</t>
  </si>
  <si>
    <t>Capital expenditure (Capex) — Base</t>
  </si>
  <si>
    <t>Change in NWC (% of Δ revenue) — Base</t>
  </si>
  <si>
    <t>Effective tax rate — Base</t>
  </si>
  <si>
    <t>Other income (treasury yield) — Base</t>
  </si>
  <si>
    <t>To switch scenario, change F5 above (1=Base / 2=Optimistic / 3=Pessimistic). DCF, Sensitivity, Assumptions, and Summary auto-recompute.</t>
  </si>
  <si>
    <t>ETERNAL LIMITED</t>
  </si>
  <si>
    <t>(formerly Zomato Limited)</t>
  </si>
  <si>
    <t>DCF Valuation Report — Three-Case Scenario Framework</t>
  </si>
  <si>
    <t>NSE: ETERNAL</t>
  </si>
  <si>
    <t>INVESTMENT RECOMMENDATION</t>
  </si>
  <si>
    <t>CURRENT PRICE</t>
  </si>
  <si>
    <t>IMPLIED PRICE (Active Case)</t>
  </si>
  <si>
    <t>PROB-WEIGHTED PRICE</t>
  </si>
  <si>
    <t>RECOMMENDATION</t>
  </si>
  <si>
    <t>NSE close (input)</t>
  </si>
  <si>
    <t>COMPANY SNAPSHOT</t>
  </si>
  <si>
    <t>Company Name</t>
  </si>
  <si>
    <t>Eternal Limited (formerly Zomato Limited)</t>
  </si>
  <si>
    <t>Headquarters</t>
  </si>
  <si>
    <t>Gurugram, Haryana, India</t>
  </si>
  <si>
    <t>Listing</t>
  </si>
  <si>
    <t>NSE &amp; BSE</t>
  </si>
  <si>
    <t>Ticker</t>
  </si>
  <si>
    <t>ETERNAL (NSE.ETERNAL)</t>
  </si>
  <si>
    <t>Founded</t>
  </si>
  <si>
    <t>Founders</t>
  </si>
  <si>
    <t>Deepinder Goyal &amp; Pankaj Chaddah</t>
  </si>
  <si>
    <t>Industry</t>
  </si>
  <si>
    <t>Internet — Food, Quick Commerce &amp; Lifestyle</t>
  </si>
  <si>
    <t>Sector</t>
  </si>
  <si>
    <t>Consumer Internet</t>
  </si>
  <si>
    <t>Rebrand Date</t>
  </si>
  <si>
    <t>9 April 2025 (Zomato → Eternal)</t>
  </si>
  <si>
    <t>Currency</t>
  </si>
  <si>
    <t>INR (₹), figures in crores</t>
  </si>
  <si>
    <t>Reporting Period</t>
  </si>
  <si>
    <t>FY22 — FY25 (historicals); FY26E — FY35E (forecast)</t>
  </si>
  <si>
    <t>Status</t>
  </si>
  <si>
    <t>Listed Public Limited</t>
  </si>
  <si>
    <t>BUSINESS SEGMENTS</t>
  </si>
  <si>
    <t>Segment</t>
  </si>
  <si>
    <t>Description</t>
  </si>
  <si>
    <t>Latest NOV (Q4 FY26)</t>
  </si>
  <si>
    <t>Strategic Status</t>
  </si>
  <si>
    <t>Restaurant marketplace &amp; delivery (Zomato app); core consumer business with 25.4M MTC</t>
  </si>
  <si>
    <t>₹9,760 Cr (+19% YoY)</t>
  </si>
  <si>
    <t>Profitable; ~5.5% adj. EBITDA margin</t>
  </si>
  <si>
    <t>Instant grocery via 2,243+ dark stores; fastest-growing vertical, transitioning to 1P inventory model</t>
  </si>
  <si>
    <t>₹14,390 Cr (+121% YoY)</t>
  </si>
  <si>
    <t>Adj. EBITDA-positive (Q3 FY26)</t>
  </si>
  <si>
    <t>Hyperpure (B2B)</t>
  </si>
  <si>
    <t>B2B fresh-ingredient supply chain to restaurants &amp; food businesses; strategic ecosystem moat</t>
  </si>
  <si>
    <t>₹980 Cr</t>
  </si>
  <si>
    <t>Events, ticketing, experiences, District Pass loyalty product; offline lifestyle play</t>
  </si>
  <si>
    <t>+46% YoY (NOV)</t>
  </si>
  <si>
    <t>Investment phase; loss ~₹81 Cr</t>
  </si>
  <si>
    <t>VALUATION APPROACH</t>
  </si>
  <si>
    <t>Methodology</t>
  </si>
  <si>
    <t>10-year FCFF DCF with Gordon-growth terminal value</t>
  </si>
  <si>
    <t>Forecast Horizon</t>
  </si>
  <si>
    <t>FY26E — FY35E explicit forecast period; perpetuity thereafter</t>
  </si>
  <si>
    <t>Cost of Capital</t>
  </si>
  <si>
    <t>WACC build via CAPM (Rf + β × ERP); blended with after-tax cost of debt at target capital structure</t>
  </si>
  <si>
    <t>Scenario Framework</t>
  </si>
  <si>
    <t>Base / Optimistic / Pessimistic — each with case-specific WACC, segment growth, margins, &amp; terminal growth</t>
  </si>
  <si>
    <t>SCENARIO OUTPUTS — IMPLIED EQUITY VALUE PER SHARE</t>
  </si>
  <si>
    <t>Scenario</t>
  </si>
  <si>
    <t>Upside / (Downside)</t>
  </si>
  <si>
    <t>Base Case</t>
  </si>
  <si>
    <t>Optimistic Case</t>
  </si>
  <si>
    <t>Pessimistic Case</t>
  </si>
  <si>
    <t>HOW TO NAVIGATE THIS MODEL</t>
  </si>
  <si>
    <t>1. Summary</t>
  </si>
  <si>
    <t>Executive summary with active scenario card, full 3-case comparison &amp; probability-weighted view</t>
  </si>
  <si>
    <t>2. Assumptions</t>
  </si>
  <si>
    <t>All model inputs — WACC build, terminal value, segment drivers; toggle Summary!F5 to switch scenario</t>
  </si>
  <si>
    <t>3. Scenarios</t>
  </si>
  <si>
    <t>Three parallel mini-DCFs (Base / Optimistic / Pessimistic) running simultaneously</t>
  </si>
  <si>
    <t>4. DCF</t>
  </si>
  <si>
    <t>Main DCF tied to active scenario; FCFF derivation, discounted cash flows, EV bridge</t>
  </si>
  <si>
    <t>5. Sensitivity</t>
  </si>
  <si>
    <t>2D sensitivity tables — WACC × terminal growth and WACC × terminal margin</t>
  </si>
  <si>
    <t>6. Historicals</t>
  </si>
  <si>
    <t>Balance Sheet, P&amp;L, Cash Flow, Equity statements (FY22-FY25) extracted from annual reports</t>
  </si>
  <si>
    <t>Source: Eternal Ltd. Annual Reports FY22-FY25; NSE/BSE filings; brokerage research; management Q4 FY26 commentary</t>
  </si>
  <si>
    <t>Prepared as part of independent academic / analytical exercise — Valuation date: 5-May-2026</t>
  </si>
  <si>
    <t>Disclaimer: This valuation is for illustrative &amp; educational purposes only. It does not constitute investment advice, recommendation, or solicitation. All figures are model outputs subject to assumptions; actual results may differ materially.</t>
  </si>
  <si>
    <t>Decision Thresholds</t>
  </si>
  <si>
    <t>Threshold</t>
  </si>
  <si>
    <t>BUY threshold</t>
  </si>
  <si>
    <t>HOLD threshold</t>
  </si>
  <si>
    <t>SELL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</si>
</sst>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_);\(#,##0\);&quot;--&quot;_);@"/>
    <numFmt numFmtId="165" formatCode="#,##0.00_);\(#,##0.00\);&quot;--&quot;_);@"/>
    <numFmt numFmtId="166" formatCode="dd/mmm/yyyy"/>
    <numFmt numFmtId="167" formatCode="#,##0.0"/>
    <numFmt numFmtId="168" formatCode="0.00&quot;x&quot;"/>
    <numFmt numFmtId="169" formatCode="0.0%;\(0.0%\);&quot;--&quot;"/>
    <numFmt numFmtId="172" formatCode="\₹#,##0.00"/>
  </numFmts>
  <fonts count="46" x14ac:knownFonts="1">
    <font>
      <sz val="12"/>
      <color theme="1"/>
      <name val="Aptos"/>
      <family val="2"/>
    </font>
    <font>
      <i/>
      <sz val="12"/>
      <color rgb="FF7F7F7F"/>
      <name val="Aptos"/>
      <family val="2"/>
    </font>
    <font>
      <b/>
      <sz val="12"/>
      <color theme="1"/>
      <name val="Aptos"/>
      <family val="2"/>
    </font>
    <font>
      <b/>
      <sz val="12"/>
      <color rgb="FFFFFFFF"/>
      <name val="Aptos"/>
      <family val="2"/>
    </font>
    <font>
      <b/>
      <i/>
      <sz val="12"/>
      <color rgb="FF404040"/>
      <name val="Aptos"/>
      <family val="2"/>
    </font>
    <font>
      <b/>
      <sz val="14"/>
      <color rgb="FFFFFFFF"/>
      <name val="Aptos"/>
      <family val="2"/>
    </font>
    <font>
      <i/>
      <sz val="12"/>
      <color theme="1"/>
      <name val="Aptos"/>
      <family val="2"/>
    </font>
    <font>
      <i/>
      <sz val="12"/>
      <color rgb="FF404040"/>
      <name val="Aptos"/>
      <family val="2"/>
    </font>
    <font>
      <i/>
      <sz val="10"/>
      <color rgb="FF404040"/>
      <name val="Aptos"/>
      <family val="2"/>
    </font>
    <font>
      <b/>
      <sz val="16"/>
      <color rgb="FFFFFFFF"/>
      <name val="Aptos"/>
      <family val="2"/>
    </font>
    <font>
      <sz val="16"/>
      <color theme="1"/>
      <name val="Aptos"/>
      <family val="2"/>
    </font>
    <font>
      <sz val="12"/>
      <color rgb="FF0000FF"/>
      <name val="Aptos"/>
      <family val="2"/>
    </font>
    <font>
      <b/>
      <sz val="12"/>
      <color rgb="FF0000FF"/>
      <name val="Aptos"/>
      <family val="2"/>
    </font>
    <font>
      <sz val="12"/>
      <color rgb="FF000000"/>
      <name val="Aptos"/>
      <family val="2"/>
    </font>
    <font>
      <sz val="10"/>
      <color rgb="FF404040"/>
      <name val="Aptos"/>
      <family val="2"/>
    </font>
    <font>
      <b/>
      <sz val="10"/>
      <color rgb="FF404040"/>
      <name val="Aptos"/>
      <family val="2"/>
    </font>
    <font>
      <b/>
      <sz val="11"/>
      <color rgb="FFFFFFFF"/>
      <name val="Aptos"/>
      <family val="2"/>
    </font>
    <font>
      <b/>
      <i/>
      <sz val="11"/>
      <color rgb="FF404040"/>
      <name val="Aptos"/>
      <family val="2"/>
    </font>
    <font>
      <i/>
      <sz val="10"/>
      <color theme="1"/>
      <name val="Aptos"/>
      <family val="2"/>
    </font>
    <font>
      <i/>
      <sz val="11"/>
      <color rgb="FF404040"/>
      <name val="Aptos"/>
      <family val="2"/>
    </font>
    <font>
      <sz val="10"/>
      <color rgb="FF000000"/>
      <name val="Aptos"/>
      <family val="2"/>
    </font>
    <font>
      <b/>
      <sz val="12"/>
      <color rgb="FF000000"/>
      <name val="Aptos"/>
      <family val="2"/>
    </font>
    <font>
      <b/>
      <i/>
      <sz val="11"/>
      <color rgb="FFFFFFFF"/>
      <name val="Aptos"/>
      <family val="2"/>
    </font>
    <font>
      <b/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28"/>
      <color rgb="FFFFFFFF"/>
      <name val="Aptos"/>
      <family val="2"/>
    </font>
    <font>
      <i/>
      <sz val="12"/>
      <color rgb="FFA8C9A4"/>
      <name val="Aptos"/>
      <family val="2"/>
    </font>
    <font>
      <b/>
      <sz val="12"/>
      <color rgb="FF404040"/>
      <name val="Aptos"/>
      <family val="2"/>
    </font>
    <font>
      <b/>
      <sz val="20"/>
      <color rgb="FF1A1A24"/>
      <name val="Aptos"/>
      <family val="2"/>
    </font>
    <font>
      <b/>
      <sz val="20"/>
      <color rgb="FFC00000"/>
      <name val="Aptos"/>
      <family val="2"/>
    </font>
    <font>
      <i/>
      <sz val="9"/>
      <color rgb="FF7F7F7F"/>
      <name val="Aptos"/>
      <family val="2"/>
    </font>
    <font>
      <i/>
      <sz val="8"/>
      <color rgb="FF7F7F7F"/>
      <name val="Aptos"/>
      <family val="2"/>
    </font>
    <font>
      <b/>
      <sz val="9"/>
      <color rgb="FFFFFFFF"/>
      <name val="Aptos"/>
      <family val="2"/>
    </font>
    <font>
      <i/>
      <sz val="12"/>
      <color rgb="FFE8B0B0"/>
      <name val="Aptos"/>
      <family val="2"/>
    </font>
    <font>
      <i/>
      <sz val="16"/>
      <color rgb="FF404040"/>
      <name val="Aptos"/>
      <family val="2"/>
    </font>
    <font>
      <sz val="12"/>
      <name val="Aptos"/>
      <family val="2"/>
    </font>
    <font>
      <i/>
      <sz val="12"/>
      <name val="Aptos"/>
      <family val="2"/>
    </font>
    <font>
      <i/>
      <sz val="12"/>
      <color theme="0"/>
      <name val="Aptos"/>
      <family val="2"/>
    </font>
    <font>
      <b/>
      <sz val="36"/>
      <color rgb="FFFFFFFF"/>
      <name val="Aptos"/>
      <family val="2"/>
    </font>
    <font>
      <b/>
      <u/>
      <sz val="16"/>
      <color rgb="FF404040"/>
      <name val="Aptos"/>
      <family val="2"/>
    </font>
    <font>
      <b/>
      <sz val="14"/>
      <name val="Aptos"/>
      <family val="2"/>
    </font>
    <font>
      <sz val="14"/>
      <name val="Aptos"/>
      <family val="2"/>
    </font>
    <font>
      <i/>
      <sz val="14"/>
      <name val="Aptos"/>
      <family val="2"/>
    </font>
    <font>
      <b/>
      <sz val="12"/>
      <color theme="0"/>
      <name val="Aptos"/>
      <family val="2"/>
    </font>
    <font>
      <i/>
      <sz val="11"/>
      <name val="Aptos"/>
      <family val="2"/>
    </font>
    <font>
      <i/>
      <sz val="14"/>
      <color theme="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2C3E2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D5A3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C1A1A"/>
        <bgColor indexed="64"/>
      </patternFill>
    </fill>
    <fill>
      <patternFill patternType="solid">
        <fgColor rgb="FF8B2C2C"/>
        <bgColor indexed="64"/>
      </patternFill>
    </fill>
    <fill>
      <patternFill patternType="solid">
        <fgColor rgb="FFB30000"/>
        <bgColor indexed="64"/>
      </patternFill>
    </fill>
    <fill>
      <patternFill patternType="solid">
        <fgColor rgb="FFE6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4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 style="hair">
        <color rgb="FF7F7F7F"/>
      </bottom>
      <diagonal/>
    </border>
    <border>
      <left/>
      <right/>
      <top style="hair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hair">
        <color rgb="FFBFBFBF"/>
      </bottom>
      <diagonal/>
    </border>
    <border>
      <left/>
      <right/>
      <top style="thin">
        <color rgb="FF7F7F7F"/>
      </top>
      <bottom style="hair">
        <color rgb="FFBFBFBF"/>
      </bottom>
      <diagonal/>
    </border>
    <border>
      <left/>
      <right style="thin">
        <color rgb="FF7F7F7F"/>
      </right>
      <top style="thin">
        <color rgb="FF7F7F7F"/>
      </top>
      <bottom style="hair">
        <color rgb="FFBFBFBF"/>
      </bottom>
      <diagonal/>
    </border>
    <border>
      <left style="thin">
        <color rgb="FF7F7F7F"/>
      </left>
      <right/>
      <top style="hair">
        <color rgb="FFBFBFBF"/>
      </top>
      <bottom style="hair">
        <color rgb="FFBFBFBF"/>
      </bottom>
      <diagonal/>
    </border>
    <border>
      <left/>
      <right/>
      <top style="hair">
        <color rgb="FFBFBFBF"/>
      </top>
      <bottom style="hair">
        <color rgb="FFBFBFBF"/>
      </bottom>
      <diagonal/>
    </border>
    <border>
      <left/>
      <right style="thin">
        <color rgb="FF7F7F7F"/>
      </right>
      <top style="hair">
        <color rgb="FFBFBFBF"/>
      </top>
      <bottom style="hair">
        <color rgb="FFBFBFBF"/>
      </bottom>
      <diagonal/>
    </border>
    <border>
      <left style="thin">
        <color rgb="FF7F7F7F"/>
      </left>
      <right/>
      <top style="hair">
        <color rgb="FFBFBFBF"/>
      </top>
      <bottom style="thin">
        <color rgb="FF7F7F7F"/>
      </bottom>
      <diagonal/>
    </border>
    <border>
      <left/>
      <right/>
      <top style="hair">
        <color rgb="FFBFBFBF"/>
      </top>
      <bottom style="thin">
        <color rgb="FF7F7F7F"/>
      </bottom>
      <diagonal/>
    </border>
    <border>
      <left/>
      <right style="thin">
        <color rgb="FF7F7F7F"/>
      </right>
      <top style="hair">
        <color rgb="FFBFBFBF"/>
      </top>
      <bottom style="thin">
        <color rgb="FF7F7F7F"/>
      </bottom>
      <diagonal/>
    </border>
    <border>
      <left style="thin">
        <color rgb="FF7F7F7F"/>
      </left>
      <right style="hair">
        <color rgb="FFBFBFBF"/>
      </right>
      <top style="thin">
        <color rgb="FF7F7F7F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thin">
        <color rgb="FF7F7F7F"/>
      </top>
      <bottom style="hair">
        <color rgb="FFBFBFBF"/>
      </bottom>
      <diagonal/>
    </border>
    <border>
      <left style="hair">
        <color rgb="FFBFBFBF"/>
      </left>
      <right style="thin">
        <color rgb="FF7F7F7F"/>
      </right>
      <top style="thin">
        <color rgb="FF7F7F7F"/>
      </top>
      <bottom style="hair">
        <color rgb="FFBFBFBF"/>
      </bottom>
      <diagonal/>
    </border>
    <border>
      <left style="thin">
        <color rgb="FF7F7F7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thin">
        <color rgb="FF7F7F7F"/>
      </right>
      <top style="hair">
        <color rgb="FFBFBFBF"/>
      </top>
      <bottom style="hair">
        <color rgb="FFBFBFBF"/>
      </bottom>
      <diagonal/>
    </border>
    <border>
      <left style="thin">
        <color rgb="FF7F7F7F"/>
      </left>
      <right style="hair">
        <color rgb="FFBFBFBF"/>
      </right>
      <top style="hair">
        <color rgb="FFBFBFBF"/>
      </top>
      <bottom style="thin">
        <color rgb="FF7F7F7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7F7F7F"/>
      </bottom>
      <diagonal/>
    </border>
    <border>
      <left style="hair">
        <color rgb="FFBFBFBF"/>
      </left>
      <right style="thin">
        <color rgb="FF7F7F7F"/>
      </right>
      <top style="hair">
        <color rgb="FFBFBFBF"/>
      </top>
      <bottom style="thin">
        <color rgb="FF7F7F7F"/>
      </bottom>
      <diagonal/>
    </border>
  </borders>
  <cellStyleXfs count="1">
    <xf numFmtId="0" fontId="0" fillId="0" borderId="0"/>
  </cellStyleXfs>
  <cellXfs count="314">
    <xf numFmtId="0" fontId="0" fillId="0" borderId="0" xfId="0"/>
    <xf numFmtId="164" fontId="0" fillId="0" borderId="0" xfId="0" applyNumberFormat="1"/>
    <xf numFmtId="0" fontId="3" fillId="2" borderId="0" xfId="0" applyFont="1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 indent="1"/>
    </xf>
    <xf numFmtId="0" fontId="5" fillId="2" borderId="0" xfId="0" applyFont="1" applyFill="1" applyAlignment="1">
      <alignment horizontal="left"/>
    </xf>
    <xf numFmtId="0" fontId="8" fillId="0" borderId="0" xfId="0" applyFo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3" borderId="2" xfId="0" applyFont="1" applyFill="1" applyBorder="1"/>
    <xf numFmtId="164" fontId="2" fillId="3" borderId="2" xfId="0" applyNumberFormat="1" applyFont="1" applyFill="1" applyBorder="1"/>
    <xf numFmtId="0" fontId="3" fillId="2" borderId="3" xfId="0" applyFont="1" applyFill="1" applyBorder="1"/>
    <xf numFmtId="164" fontId="3" fillId="2" borderId="3" xfId="0" applyNumberFormat="1" applyFont="1" applyFill="1" applyBorder="1"/>
    <xf numFmtId="165" fontId="0" fillId="0" borderId="0" xfId="0" applyNumberFormat="1"/>
    <xf numFmtId="165" fontId="2" fillId="3" borderId="2" xfId="0" applyNumberFormat="1" applyFont="1" applyFill="1" applyBorder="1"/>
    <xf numFmtId="165" fontId="4" fillId="0" borderId="0" xfId="0" applyNumberFormat="1" applyFont="1"/>
    <xf numFmtId="165" fontId="3" fillId="2" borderId="3" xfId="0" applyNumberFormat="1" applyFont="1" applyFill="1" applyBorder="1"/>
    <xf numFmtId="165" fontId="3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40" fontId="0" fillId="0" borderId="0" xfId="0" applyNumberFormat="1"/>
    <xf numFmtId="40" fontId="2" fillId="3" borderId="2" xfId="0" applyNumberFormat="1" applyFont="1" applyFill="1" applyBorder="1"/>
    <xf numFmtId="40" fontId="3" fillId="2" borderId="0" xfId="0" applyNumberFormat="1" applyFont="1" applyFill="1" applyAlignment="1">
      <alignment horizontal="left"/>
    </xf>
    <xf numFmtId="40" fontId="9" fillId="2" borderId="0" xfId="0" applyNumberFormat="1" applyFont="1" applyFill="1" applyAlignment="1">
      <alignment horizontal="left" vertical="center"/>
    </xf>
    <xf numFmtId="40" fontId="8" fillId="0" borderId="0" xfId="0" applyNumberFormat="1" applyFont="1"/>
    <xf numFmtId="40" fontId="3" fillId="4" borderId="0" xfId="0" applyNumberFormat="1" applyFont="1" applyFill="1" applyAlignment="1">
      <alignment horizontal="left"/>
    </xf>
    <xf numFmtId="40" fontId="3" fillId="4" borderId="0" xfId="0" applyNumberFormat="1" applyFont="1" applyFill="1" applyAlignment="1">
      <alignment horizontal="center"/>
    </xf>
    <xf numFmtId="40" fontId="0" fillId="0" borderId="0" xfId="0" applyNumberFormat="1" applyAlignment="1">
      <alignment horizontal="left" indent="1"/>
    </xf>
    <xf numFmtId="40" fontId="3" fillId="2" borderId="3" xfId="0" applyNumberFormat="1" applyFont="1" applyFill="1" applyBorder="1"/>
    <xf numFmtId="40" fontId="10" fillId="0" borderId="0" xfId="0" applyNumberFormat="1" applyFont="1" applyAlignment="1">
      <alignment vertical="center"/>
    </xf>
    <xf numFmtId="40" fontId="4" fillId="0" borderId="0" xfId="0" applyNumberFormat="1" applyFont="1"/>
    <xf numFmtId="40" fontId="2" fillId="3" borderId="2" xfId="0" applyNumberFormat="1" applyFont="1" applyFill="1" applyBorder="1" applyAlignment="1">
      <alignment horizontal="left" indent="1"/>
    </xf>
    <xf numFmtId="10" fontId="0" fillId="0" borderId="0" xfId="0" applyNumberFormat="1"/>
    <xf numFmtId="166" fontId="11" fillId="5" borderId="6" xfId="0" applyNumberFormat="1" applyFont="1" applyFill="1" applyBorder="1" applyAlignment="1">
      <alignment horizontal="right"/>
    </xf>
    <xf numFmtId="2" fontId="11" fillId="5" borderId="6" xfId="0" applyNumberFormat="1" applyFont="1" applyFill="1" applyBorder="1"/>
    <xf numFmtId="167" fontId="11" fillId="5" borderId="1" xfId="0" applyNumberFormat="1" applyFont="1" applyFill="1" applyBorder="1"/>
    <xf numFmtId="10" fontId="11" fillId="5" borderId="1" xfId="0" applyNumberFormat="1" applyFont="1" applyFill="1" applyBorder="1"/>
    <xf numFmtId="10" fontId="11" fillId="5" borderId="6" xfId="0" applyNumberFormat="1" applyFont="1" applyFill="1" applyBorder="1"/>
    <xf numFmtId="168" fontId="11" fillId="5" borderId="1" xfId="0" applyNumberFormat="1" applyFont="1" applyFill="1" applyBorder="1"/>
    <xf numFmtId="10" fontId="3" fillId="2" borderId="3" xfId="0" applyNumberFormat="1" applyFont="1" applyFill="1" applyBorder="1"/>
    <xf numFmtId="1" fontId="11" fillId="5" borderId="6" xfId="0" applyNumberFormat="1" applyFont="1" applyFill="1" applyBorder="1"/>
    <xf numFmtId="0" fontId="11" fillId="5" borderId="2" xfId="0" applyFont="1" applyFill="1" applyBorder="1"/>
    <xf numFmtId="0" fontId="11" fillId="5" borderId="4" xfId="0" applyFont="1" applyFill="1" applyBorder="1"/>
    <xf numFmtId="0" fontId="11" fillId="5" borderId="5" xfId="0" applyFont="1" applyFill="1" applyBorder="1"/>
    <xf numFmtId="0" fontId="11" fillId="5" borderId="1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169" fontId="11" fillId="5" borderId="8" xfId="0" applyNumberFormat="1" applyFont="1" applyFill="1" applyBorder="1"/>
    <xf numFmtId="169" fontId="11" fillId="5" borderId="2" xfId="0" applyNumberFormat="1" applyFont="1" applyFill="1" applyBorder="1"/>
    <xf numFmtId="169" fontId="11" fillId="5" borderId="9" xfId="0" applyNumberFormat="1" applyFont="1" applyFill="1" applyBorder="1"/>
    <xf numFmtId="169" fontId="11" fillId="5" borderId="5" xfId="0" applyNumberFormat="1" applyFont="1" applyFill="1" applyBorder="1"/>
    <xf numFmtId="169" fontId="11" fillId="5" borderId="4" xfId="0" applyNumberFormat="1" applyFont="1" applyFill="1" applyBorder="1"/>
    <xf numFmtId="169" fontId="11" fillId="5" borderId="7" xfId="0" applyNumberFormat="1" applyFont="1" applyFill="1" applyBorder="1"/>
    <xf numFmtId="0" fontId="0" fillId="0" borderId="0" xfId="0" applyAlignment="1">
      <alignment horizontal="right"/>
    </xf>
    <xf numFmtId="164" fontId="11" fillId="5" borderId="8" xfId="0" applyNumberFormat="1" applyFont="1" applyFill="1" applyBorder="1"/>
    <xf numFmtId="164" fontId="11" fillId="5" borderId="9" xfId="0" applyNumberFormat="1" applyFont="1" applyFill="1" applyBorder="1"/>
    <xf numFmtId="0" fontId="2" fillId="0" borderId="10" xfId="0" applyFont="1" applyBorder="1"/>
    <xf numFmtId="0" fontId="8" fillId="3" borderId="0" xfId="0" applyFont="1" applyFill="1"/>
    <xf numFmtId="10" fontId="3" fillId="4" borderId="16" xfId="0" applyNumberFormat="1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10" fontId="3" fillId="4" borderId="21" xfId="0" applyNumberFormat="1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/>
    </xf>
    <xf numFmtId="0" fontId="8" fillId="6" borderId="0" xfId="0" applyFont="1" applyFill="1"/>
    <xf numFmtId="0" fontId="2" fillId="0" borderId="0" xfId="0" applyFont="1" applyAlignment="1">
      <alignment horizontal="right" indent="1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/>
    </xf>
    <xf numFmtId="172" fontId="2" fillId="3" borderId="1" xfId="0" applyNumberFormat="1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169" fontId="2" fillId="3" borderId="1" xfId="0" applyNumberFormat="1" applyFont="1" applyFill="1" applyBorder="1" applyAlignment="1">
      <alignment horizontal="center"/>
    </xf>
    <xf numFmtId="0" fontId="8" fillId="6" borderId="0" xfId="0" applyFont="1" applyFill="1" applyAlignment="1">
      <alignment horizontal="right"/>
    </xf>
    <xf numFmtId="0" fontId="22" fillId="4" borderId="0" xfId="0" applyFont="1" applyFill="1" applyAlignment="1">
      <alignment horizontal="center"/>
    </xf>
    <xf numFmtId="10" fontId="17" fillId="3" borderId="0" xfId="0" applyNumberFormat="1" applyFont="1" applyFill="1" applyAlignment="1">
      <alignment horizontal="center"/>
    </xf>
    <xf numFmtId="172" fontId="17" fillId="3" borderId="0" xfId="0" applyNumberFormat="1" applyFont="1" applyFill="1" applyAlignment="1">
      <alignment horizontal="center"/>
    </xf>
    <xf numFmtId="169" fontId="17" fillId="3" borderId="0" xfId="0" applyNumberFormat="1" applyFont="1" applyFill="1" applyAlignment="1">
      <alignment horizontal="center"/>
    </xf>
    <xf numFmtId="0" fontId="16" fillId="4" borderId="0" xfId="0" applyFont="1" applyFill="1" applyAlignment="1">
      <alignment horizontal="left" indent="1"/>
    </xf>
    <xf numFmtId="0" fontId="22" fillId="4" borderId="0" xfId="0" applyFont="1" applyFill="1" applyAlignment="1">
      <alignment horizontal="left" inden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3" fillId="0" borderId="8" xfId="0" applyFont="1" applyBorder="1"/>
    <xf numFmtId="0" fontId="13" fillId="0" borderId="2" xfId="0" applyFont="1" applyBorder="1"/>
    <xf numFmtId="0" fontId="13" fillId="0" borderId="9" xfId="0" applyFont="1" applyBorder="1"/>
    <xf numFmtId="0" fontId="13" fillId="0" borderId="5" xfId="0" applyFont="1" applyBorder="1"/>
    <xf numFmtId="0" fontId="13" fillId="0" borderId="4" xfId="0" applyFont="1" applyBorder="1"/>
    <xf numFmtId="0" fontId="13" fillId="0" borderId="7" xfId="0" applyFont="1" applyBorder="1"/>
    <xf numFmtId="0" fontId="13" fillId="0" borderId="15" xfId="0" applyFont="1" applyBorder="1"/>
    <xf numFmtId="0" fontId="13" fillId="0" borderId="27" xfId="0" applyFont="1" applyBorder="1"/>
    <xf numFmtId="0" fontId="13" fillId="0" borderId="13" xfId="0" applyFont="1" applyBorder="1"/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32" fillId="4" borderId="8" xfId="0" applyFont="1" applyFill="1" applyBorder="1" applyAlignment="1">
      <alignment horizontal="left" vertical="center" indent="1"/>
    </xf>
    <xf numFmtId="0" fontId="32" fillId="4" borderId="9" xfId="0" applyFont="1" applyFill="1" applyBorder="1" applyAlignment="1">
      <alignment horizontal="left" vertical="center" indent="1"/>
    </xf>
    <xf numFmtId="0" fontId="0" fillId="7" borderId="0" xfId="0" applyFill="1"/>
    <xf numFmtId="0" fontId="25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0" fontId="32" fillId="8" borderId="8" xfId="0" applyFont="1" applyFill="1" applyBorder="1" applyAlignment="1">
      <alignment horizontal="left" vertical="center" indent="1"/>
    </xf>
    <xf numFmtId="0" fontId="32" fillId="8" borderId="9" xfId="0" applyFont="1" applyFill="1" applyBorder="1" applyAlignment="1">
      <alignment horizontal="left" vertical="center" indent="1"/>
    </xf>
    <xf numFmtId="0" fontId="33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16" fillId="8" borderId="0" xfId="0" applyFont="1" applyFill="1" applyAlignment="1">
      <alignment horizontal="left"/>
    </xf>
    <xf numFmtId="0" fontId="16" fillId="8" borderId="0" xfId="0" applyFont="1" applyFill="1" applyAlignment="1">
      <alignment horizontal="center"/>
    </xf>
    <xf numFmtId="0" fontId="9" fillId="7" borderId="0" xfId="0" applyFont="1" applyFill="1" applyAlignment="1">
      <alignment horizontal="left" vertical="center"/>
    </xf>
    <xf numFmtId="0" fontId="3" fillId="7" borderId="3" xfId="0" applyFont="1" applyFill="1" applyBorder="1"/>
    <xf numFmtId="10" fontId="3" fillId="7" borderId="3" xfId="0" applyNumberFormat="1" applyFont="1" applyFill="1" applyBorder="1"/>
    <xf numFmtId="0" fontId="3" fillId="8" borderId="0" xfId="0" applyFont="1" applyFill="1" applyAlignment="1">
      <alignment horizontal="center"/>
    </xf>
    <xf numFmtId="0" fontId="5" fillId="7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indent="1"/>
    </xf>
    <xf numFmtId="164" fontId="3" fillId="7" borderId="3" xfId="0" applyNumberFormat="1" applyFont="1" applyFill="1" applyBorder="1"/>
    <xf numFmtId="0" fontId="16" fillId="8" borderId="0" xfId="0" applyFont="1" applyFill="1" applyAlignment="1">
      <alignment horizontal="left" indent="1"/>
    </xf>
    <xf numFmtId="0" fontId="3" fillId="8" borderId="18" xfId="0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10" fontId="3" fillId="8" borderId="21" xfId="0" applyNumberFormat="1" applyFont="1" applyFill="1" applyBorder="1" applyAlignment="1">
      <alignment horizontal="center"/>
    </xf>
    <xf numFmtId="40" fontId="9" fillId="7" borderId="0" xfId="0" applyNumberFormat="1" applyFont="1" applyFill="1" applyAlignment="1">
      <alignment horizontal="left" vertical="center"/>
    </xf>
    <xf numFmtId="40" fontId="3" fillId="7" borderId="0" xfId="0" applyNumberFormat="1" applyFont="1" applyFill="1" applyAlignment="1">
      <alignment horizontal="left"/>
    </xf>
    <xf numFmtId="40" fontId="3" fillId="7" borderId="3" xfId="0" applyNumberFormat="1" applyFont="1" applyFill="1" applyBorder="1"/>
    <xf numFmtId="40" fontId="3" fillId="8" borderId="0" xfId="0" applyNumberFormat="1" applyFont="1" applyFill="1" applyAlignment="1">
      <alignment horizontal="left"/>
    </xf>
    <xf numFmtId="40" fontId="3" fillId="8" borderId="0" xfId="0" applyNumberFormat="1" applyFont="1" applyFill="1" applyAlignment="1">
      <alignment horizontal="center"/>
    </xf>
    <xf numFmtId="40" fontId="9" fillId="9" borderId="0" xfId="0" applyNumberFormat="1" applyFont="1" applyFill="1" applyAlignment="1">
      <alignment horizontal="left" vertical="center"/>
    </xf>
    <xf numFmtId="40" fontId="3" fillId="9" borderId="0" xfId="0" applyNumberFormat="1" applyFont="1" applyFill="1" applyAlignment="1">
      <alignment horizontal="left"/>
    </xf>
    <xf numFmtId="40" fontId="3" fillId="9" borderId="3" xfId="0" applyNumberFormat="1" applyFont="1" applyFill="1" applyBorder="1"/>
    <xf numFmtId="40" fontId="3" fillId="10" borderId="0" xfId="0" applyNumberFormat="1" applyFont="1" applyFill="1" applyAlignment="1">
      <alignment horizontal="left"/>
    </xf>
    <xf numFmtId="40" fontId="3" fillId="10" borderId="0" xfId="0" applyNumberFormat="1" applyFont="1" applyFill="1" applyAlignment="1">
      <alignment horizontal="center"/>
    </xf>
    <xf numFmtId="40" fontId="3" fillId="11" borderId="3" xfId="0" applyNumberFormat="1" applyFont="1" applyFill="1" applyBorder="1"/>
    <xf numFmtId="40" fontId="5" fillId="9" borderId="0" xfId="0" applyNumberFormat="1" applyFont="1" applyFill="1" applyAlignment="1">
      <alignment horizontal="left" vertical="center"/>
    </xf>
    <xf numFmtId="40" fontId="5" fillId="9" borderId="0" xfId="0" applyNumberFormat="1" applyFont="1" applyFill="1" applyAlignment="1">
      <alignment horizontal="left"/>
    </xf>
    <xf numFmtId="40" fontId="8" fillId="6" borderId="0" xfId="0" applyNumberFormat="1" applyFont="1" applyFill="1"/>
    <xf numFmtId="40" fontId="8" fillId="6" borderId="0" xfId="0" applyNumberFormat="1" applyFont="1" applyFill="1" applyAlignment="1">
      <alignment horizontal="right"/>
    </xf>
    <xf numFmtId="40" fontId="22" fillId="10" borderId="0" xfId="0" applyNumberFormat="1" applyFont="1" applyFill="1" applyAlignment="1">
      <alignment horizontal="left" indent="1"/>
    </xf>
    <xf numFmtId="40" fontId="8" fillId="6" borderId="0" xfId="0" applyNumberFormat="1" applyFont="1" applyFill="1" applyAlignment="1">
      <alignment horizontal="left"/>
    </xf>
    <xf numFmtId="40" fontId="4" fillId="6" borderId="0" xfId="0" applyNumberFormat="1" applyFont="1" applyFill="1" applyAlignment="1">
      <alignment horizontal="left"/>
    </xf>
    <xf numFmtId="40" fontId="14" fillId="0" borderId="0" xfId="0" applyNumberFormat="1" applyFont="1" applyAlignment="1">
      <alignment horizontal="center"/>
    </xf>
    <xf numFmtId="40" fontId="15" fillId="3" borderId="2" xfId="0" applyNumberFormat="1" applyFont="1" applyFill="1" applyBorder="1" applyAlignment="1">
      <alignment horizontal="center"/>
    </xf>
    <xf numFmtId="40" fontId="7" fillId="0" borderId="0" xfId="0" applyNumberFormat="1" applyFont="1" applyAlignment="1">
      <alignment horizontal="left" indent="1"/>
    </xf>
    <xf numFmtId="40" fontId="2" fillId="3" borderId="0" xfId="0" applyNumberFormat="1" applyFont="1" applyFill="1"/>
    <xf numFmtId="40" fontId="15" fillId="3" borderId="0" xfId="0" applyNumberFormat="1" applyFont="1" applyFill="1" applyAlignment="1">
      <alignment horizontal="center"/>
    </xf>
    <xf numFmtId="40" fontId="2" fillId="3" borderId="24" xfId="0" applyNumberFormat="1" applyFont="1" applyFill="1" applyBorder="1"/>
    <xf numFmtId="40" fontId="15" fillId="3" borderId="24" xfId="0" applyNumberFormat="1" applyFont="1" applyFill="1" applyBorder="1" applyAlignment="1">
      <alignment horizontal="center"/>
    </xf>
    <xf numFmtId="40" fontId="0" fillId="0" borderId="0" xfId="0" applyNumberFormat="1" applyAlignment="1">
      <alignment horizontal="center"/>
    </xf>
    <xf numFmtId="40" fontId="2" fillId="0" borderId="0" xfId="0" applyNumberFormat="1" applyFont="1"/>
    <xf numFmtId="40" fontId="2" fillId="3" borderId="25" xfId="0" applyNumberFormat="1" applyFont="1" applyFill="1" applyBorder="1"/>
    <xf numFmtId="40" fontId="15" fillId="3" borderId="25" xfId="0" applyNumberFormat="1" applyFont="1" applyFill="1" applyBorder="1" applyAlignment="1">
      <alignment horizontal="center"/>
    </xf>
    <xf numFmtId="40" fontId="0" fillId="9" borderId="0" xfId="0" applyNumberFormat="1" applyFill="1"/>
    <xf numFmtId="40" fontId="38" fillId="9" borderId="0" xfId="0" applyNumberFormat="1" applyFont="1" applyFill="1" applyAlignment="1">
      <alignment horizontal="center" vertical="center"/>
    </xf>
    <xf numFmtId="40" fontId="36" fillId="0" borderId="28" xfId="0" applyNumberFormat="1" applyFont="1" applyBorder="1" applyAlignment="1">
      <alignment horizontal="left"/>
    </xf>
    <xf numFmtId="40" fontId="35" fillId="0" borderId="28" xfId="0" applyNumberFormat="1" applyFont="1" applyBorder="1"/>
    <xf numFmtId="40" fontId="36" fillId="0" borderId="28" xfId="0" applyNumberFormat="1" applyFont="1" applyBorder="1" applyAlignment="1">
      <alignment horizontal="right"/>
    </xf>
    <xf numFmtId="40" fontId="36" fillId="0" borderId="29" xfId="0" applyNumberFormat="1" applyFont="1" applyBorder="1" applyAlignment="1">
      <alignment horizontal="left" vertical="center"/>
    </xf>
    <xf numFmtId="40" fontId="9" fillId="10" borderId="0" xfId="0" applyNumberFormat="1" applyFont="1" applyFill="1" applyAlignment="1">
      <alignment horizontal="left" vertical="center" indent="1"/>
    </xf>
    <xf numFmtId="40" fontId="3" fillId="10" borderId="0" xfId="0" applyNumberFormat="1" applyFont="1" applyFill="1" applyAlignment="1">
      <alignment horizontal="left" vertical="center" indent="1"/>
    </xf>
    <xf numFmtId="40" fontId="3" fillId="10" borderId="8" xfId="0" applyNumberFormat="1" applyFont="1" applyFill="1" applyBorder="1" applyAlignment="1">
      <alignment horizontal="left" vertical="center" indent="1"/>
    </xf>
    <xf numFmtId="40" fontId="3" fillId="10" borderId="9" xfId="0" applyNumberFormat="1" applyFont="1" applyFill="1" applyBorder="1" applyAlignment="1">
      <alignment horizontal="left" vertical="center" indent="1"/>
    </xf>
    <xf numFmtId="40" fontId="39" fillId="3" borderId="6" xfId="0" applyNumberFormat="1" applyFont="1" applyFill="1" applyBorder="1" applyAlignment="1">
      <alignment horizontal="center" vertical="center"/>
    </xf>
    <xf numFmtId="40" fontId="27" fillId="3" borderId="14" xfId="0" applyNumberFormat="1" applyFont="1" applyFill="1" applyBorder="1" applyAlignment="1">
      <alignment horizontal="center" vertical="center"/>
    </xf>
    <xf numFmtId="40" fontId="28" fillId="0" borderId="6" xfId="0" applyNumberFormat="1" applyFont="1" applyBorder="1" applyAlignment="1">
      <alignment horizontal="center" vertical="center"/>
    </xf>
    <xf numFmtId="40" fontId="29" fillId="0" borderId="6" xfId="0" applyNumberFormat="1" applyFont="1" applyBorder="1" applyAlignment="1">
      <alignment horizontal="center" vertical="center"/>
    </xf>
    <xf numFmtId="40" fontId="27" fillId="0" borderId="1" xfId="0" applyNumberFormat="1" applyFont="1" applyBorder="1" applyAlignment="1">
      <alignment horizontal="left" indent="1"/>
    </xf>
    <xf numFmtId="40" fontId="12" fillId="5" borderId="1" xfId="0" applyNumberFormat="1" applyFont="1" applyFill="1" applyBorder="1" applyAlignment="1">
      <alignment horizontal="center"/>
    </xf>
    <xf numFmtId="40" fontId="34" fillId="3" borderId="1" xfId="0" applyNumberFormat="1" applyFont="1" applyFill="1" applyBorder="1" applyAlignment="1">
      <alignment horizontal="center" vertical="center"/>
    </xf>
    <xf numFmtId="40" fontId="1" fillId="0" borderId="0" xfId="0" applyNumberFormat="1" applyFont="1" applyAlignment="1">
      <alignment horizontal="center" vertical="center"/>
    </xf>
    <xf numFmtId="40" fontId="40" fillId="0" borderId="30" xfId="0" applyNumberFormat="1" applyFont="1" applyBorder="1" applyAlignment="1">
      <alignment horizontal="left"/>
    </xf>
    <xf numFmtId="40" fontId="41" fillId="0" borderId="31" xfId="0" applyNumberFormat="1" applyFont="1" applyBorder="1" applyAlignment="1">
      <alignment horizontal="left"/>
    </xf>
    <xf numFmtId="40" fontId="40" fillId="0" borderId="31" xfId="0" applyNumberFormat="1" applyFont="1" applyBorder="1" applyAlignment="1">
      <alignment horizontal="left"/>
    </xf>
    <xf numFmtId="40" fontId="41" fillId="0" borderId="32" xfId="0" applyNumberFormat="1" applyFont="1" applyBorder="1" applyAlignment="1">
      <alignment horizontal="left"/>
    </xf>
    <xf numFmtId="40" fontId="40" fillId="0" borderId="33" xfId="0" applyNumberFormat="1" applyFont="1" applyBorder="1" applyAlignment="1">
      <alignment horizontal="left"/>
    </xf>
    <xf numFmtId="40" fontId="41" fillId="0" borderId="34" xfId="0" applyNumberFormat="1" applyFont="1" applyBorder="1" applyAlignment="1">
      <alignment horizontal="left"/>
    </xf>
    <xf numFmtId="40" fontId="40" fillId="0" borderId="34" xfId="0" applyNumberFormat="1" applyFont="1" applyBorder="1" applyAlignment="1">
      <alignment horizontal="left"/>
    </xf>
    <xf numFmtId="40" fontId="41" fillId="0" borderId="35" xfId="0" applyNumberFormat="1" applyFont="1" applyBorder="1" applyAlignment="1">
      <alignment horizontal="left"/>
    </xf>
    <xf numFmtId="40" fontId="40" fillId="0" borderId="36" xfId="0" applyNumberFormat="1" applyFont="1" applyBorder="1" applyAlignment="1">
      <alignment horizontal="left"/>
    </xf>
    <xf numFmtId="40" fontId="41" fillId="0" borderId="37" xfId="0" applyNumberFormat="1" applyFont="1" applyBorder="1" applyAlignment="1">
      <alignment horizontal="left"/>
    </xf>
    <xf numFmtId="40" fontId="40" fillId="0" borderId="37" xfId="0" applyNumberFormat="1" applyFont="1" applyBorder="1" applyAlignment="1">
      <alignment horizontal="left"/>
    </xf>
    <xf numFmtId="40" fontId="41" fillId="0" borderId="38" xfId="0" applyNumberFormat="1" applyFont="1" applyBorder="1" applyAlignment="1">
      <alignment horizontal="left"/>
    </xf>
    <xf numFmtId="40" fontId="40" fillId="3" borderId="6" xfId="0" applyNumberFormat="1" applyFont="1" applyFill="1" applyBorder="1" applyAlignment="1">
      <alignment horizontal="left" vertical="center" indent="1"/>
    </xf>
    <xf numFmtId="40" fontId="40" fillId="0" borderId="39" xfId="0" applyNumberFormat="1" applyFont="1" applyBorder="1" applyAlignment="1">
      <alignment horizontal="left" vertical="center" wrapText="1" indent="1"/>
    </xf>
    <xf numFmtId="40" fontId="41" fillId="0" borderId="40" xfId="0" applyNumberFormat="1" applyFont="1" applyBorder="1" applyAlignment="1">
      <alignment horizontal="left" vertical="center" wrapText="1" indent="1"/>
    </xf>
    <xf numFmtId="40" fontId="41" fillId="0" borderId="40" xfId="0" applyNumberFormat="1" applyFont="1" applyBorder="1" applyAlignment="1">
      <alignment horizontal="center" vertical="center"/>
    </xf>
    <xf numFmtId="40" fontId="42" fillId="0" borderId="41" xfId="0" applyNumberFormat="1" applyFont="1" applyBorder="1" applyAlignment="1">
      <alignment horizontal="left" vertical="center" wrapText="1"/>
    </xf>
    <xf numFmtId="40" fontId="40" fillId="0" borderId="42" xfId="0" applyNumberFormat="1" applyFont="1" applyBorder="1" applyAlignment="1">
      <alignment horizontal="left" vertical="center" wrapText="1" indent="1"/>
    </xf>
    <xf numFmtId="40" fontId="41" fillId="0" borderId="43" xfId="0" applyNumberFormat="1" applyFont="1" applyBorder="1" applyAlignment="1">
      <alignment horizontal="left" vertical="center" wrapText="1" indent="1"/>
    </xf>
    <xf numFmtId="40" fontId="41" fillId="0" borderId="43" xfId="0" applyNumberFormat="1" applyFont="1" applyBorder="1" applyAlignment="1">
      <alignment horizontal="center" vertical="center"/>
    </xf>
    <xf numFmtId="40" fontId="42" fillId="0" borderId="44" xfId="0" applyNumberFormat="1" applyFont="1" applyBorder="1" applyAlignment="1">
      <alignment horizontal="left" vertical="center" wrapText="1"/>
    </xf>
    <xf numFmtId="40" fontId="40" fillId="0" borderId="45" xfId="0" applyNumberFormat="1" applyFont="1" applyBorder="1" applyAlignment="1">
      <alignment horizontal="left" vertical="center" wrapText="1" indent="1"/>
    </xf>
    <xf numFmtId="40" fontId="41" fillId="0" borderId="46" xfId="0" applyNumberFormat="1" applyFont="1" applyBorder="1" applyAlignment="1">
      <alignment horizontal="left" vertical="center" wrapText="1" indent="1"/>
    </xf>
    <xf numFmtId="40" fontId="41" fillId="0" borderId="46" xfId="0" applyNumberFormat="1" applyFont="1" applyBorder="1" applyAlignment="1">
      <alignment horizontal="center" vertical="center"/>
    </xf>
    <xf numFmtId="40" fontId="42" fillId="0" borderId="47" xfId="0" applyNumberFormat="1" applyFont="1" applyBorder="1" applyAlignment="1">
      <alignment horizontal="left" vertical="center" wrapText="1"/>
    </xf>
    <xf numFmtId="40" fontId="41" fillId="0" borderId="31" xfId="0" applyNumberFormat="1" applyFont="1" applyBorder="1" applyAlignment="1">
      <alignment horizontal="left" wrapText="1"/>
    </xf>
    <xf numFmtId="40" fontId="35" fillId="0" borderId="31" xfId="0" applyNumberFormat="1" applyFont="1" applyBorder="1" applyAlignment="1">
      <alignment horizontal="left" wrapText="1"/>
    </xf>
    <xf numFmtId="40" fontId="35" fillId="0" borderId="32" xfId="0" applyNumberFormat="1" applyFont="1" applyBorder="1" applyAlignment="1">
      <alignment horizontal="left" wrapText="1"/>
    </xf>
    <xf numFmtId="40" fontId="41" fillId="0" borderId="34" xfId="0" applyNumberFormat="1" applyFont="1" applyBorder="1" applyAlignment="1">
      <alignment horizontal="left" wrapText="1"/>
    </xf>
    <xf numFmtId="40" fontId="35" fillId="0" borderId="34" xfId="0" applyNumberFormat="1" applyFont="1" applyBorder="1" applyAlignment="1">
      <alignment horizontal="left" wrapText="1"/>
    </xf>
    <xf numFmtId="40" fontId="35" fillId="0" borderId="35" xfId="0" applyNumberFormat="1" applyFont="1" applyBorder="1" applyAlignment="1">
      <alignment horizontal="left" wrapText="1"/>
    </xf>
    <xf numFmtId="40" fontId="41" fillId="0" borderId="37" xfId="0" applyNumberFormat="1" applyFont="1" applyBorder="1" applyAlignment="1">
      <alignment horizontal="left" wrapText="1"/>
    </xf>
    <xf numFmtId="40" fontId="35" fillId="0" borderId="37" xfId="0" applyNumberFormat="1" applyFont="1" applyBorder="1" applyAlignment="1">
      <alignment horizontal="left" wrapText="1"/>
    </xf>
    <xf numFmtId="40" fontId="35" fillId="0" borderId="38" xfId="0" applyNumberFormat="1" applyFont="1" applyBorder="1" applyAlignment="1">
      <alignment horizontal="left" wrapText="1"/>
    </xf>
    <xf numFmtId="40" fontId="40" fillId="3" borderId="6" xfId="0" applyNumberFormat="1" applyFont="1" applyFill="1" applyBorder="1" applyAlignment="1">
      <alignment horizontal="center" vertical="center"/>
    </xf>
    <xf numFmtId="40" fontId="40" fillId="0" borderId="1" xfId="0" applyNumberFormat="1" applyFont="1" applyBorder="1" applyAlignment="1">
      <alignment horizontal="left" vertical="center" indent="1"/>
    </xf>
    <xf numFmtId="40" fontId="41" fillId="0" borderId="1" xfId="0" applyNumberFormat="1" applyFont="1" applyBorder="1" applyAlignment="1">
      <alignment horizontal="center" vertical="center"/>
    </xf>
    <xf numFmtId="40" fontId="40" fillId="0" borderId="1" xfId="0" applyNumberFormat="1" applyFont="1" applyBorder="1" applyAlignment="1">
      <alignment horizontal="center" vertical="center"/>
    </xf>
    <xf numFmtId="40" fontId="14" fillId="0" borderId="31" xfId="0" applyNumberFormat="1" applyFont="1" applyBorder="1" applyAlignment="1">
      <alignment horizontal="left" wrapText="1"/>
    </xf>
    <xf numFmtId="40" fontId="14" fillId="0" borderId="32" xfId="0" applyNumberFormat="1" applyFont="1" applyBorder="1" applyAlignment="1">
      <alignment horizontal="left" wrapText="1"/>
    </xf>
    <xf numFmtId="40" fontId="14" fillId="0" borderId="34" xfId="0" applyNumberFormat="1" applyFont="1" applyBorder="1" applyAlignment="1">
      <alignment horizontal="left" wrapText="1"/>
    </xf>
    <xf numFmtId="40" fontId="14" fillId="0" borderId="35" xfId="0" applyNumberFormat="1" applyFont="1" applyBorder="1" applyAlignment="1">
      <alignment horizontal="left" wrapText="1"/>
    </xf>
    <xf numFmtId="40" fontId="14" fillId="0" borderId="37" xfId="0" applyNumberFormat="1" applyFont="1" applyBorder="1" applyAlignment="1">
      <alignment horizontal="left" wrapText="1"/>
    </xf>
    <xf numFmtId="40" fontId="14" fillId="0" borderId="38" xfId="0" applyNumberFormat="1" applyFont="1" applyBorder="1" applyAlignment="1">
      <alignment horizontal="left" wrapText="1"/>
    </xf>
    <xf numFmtId="40" fontId="30" fillId="0" borderId="0" xfId="0" applyNumberFormat="1" applyFont="1" applyAlignment="1">
      <alignment horizontal="left"/>
    </xf>
    <xf numFmtId="40" fontId="31" fillId="0" borderId="29" xfId="0" applyNumberFormat="1" applyFont="1" applyBorder="1" applyAlignment="1">
      <alignment horizontal="left" wrapText="1"/>
    </xf>
    <xf numFmtId="40" fontId="21" fillId="0" borderId="0" xfId="0" applyNumberFormat="1" applyFont="1" applyAlignment="1">
      <alignment horizontal="right" indent="1"/>
    </xf>
    <xf numFmtId="40" fontId="12" fillId="5" borderId="6" xfId="0" applyNumberFormat="1" applyFont="1" applyFill="1" applyBorder="1" applyAlignment="1">
      <alignment horizontal="center"/>
    </xf>
    <xf numFmtId="40" fontId="12" fillId="5" borderId="9" xfId="0" applyNumberFormat="1" applyFont="1" applyFill="1" applyBorder="1" applyAlignment="1">
      <alignment horizontal="center"/>
    </xf>
    <xf numFmtId="40" fontId="8" fillId="0" borderId="7" xfId="0" applyNumberFormat="1" applyFont="1" applyBorder="1" applyAlignment="1">
      <alignment horizontal="right"/>
    </xf>
    <xf numFmtId="40" fontId="8" fillId="0" borderId="0" xfId="0" applyNumberFormat="1" applyFont="1" applyAlignment="1">
      <alignment horizontal="right"/>
    </xf>
    <xf numFmtId="40" fontId="21" fillId="3" borderId="1" xfId="0" applyNumberFormat="1" applyFont="1" applyFill="1" applyBorder="1" applyAlignment="1">
      <alignment horizontal="center"/>
    </xf>
    <xf numFmtId="40" fontId="21" fillId="3" borderId="7" xfId="0" applyNumberFormat="1" applyFont="1" applyFill="1" applyBorder="1" applyAlignment="1">
      <alignment horizontal="center"/>
    </xf>
    <xf numFmtId="40" fontId="21" fillId="0" borderId="0" xfId="0" applyNumberFormat="1" applyFont="1" applyAlignment="1">
      <alignment horizontal="right"/>
    </xf>
    <xf numFmtId="40" fontId="8" fillId="0" borderId="0" xfId="0" applyNumberFormat="1" applyFont="1" applyAlignment="1">
      <alignment horizontal="left"/>
    </xf>
    <xf numFmtId="40" fontId="16" fillId="10" borderId="0" xfId="0" applyNumberFormat="1" applyFont="1" applyFill="1" applyAlignment="1">
      <alignment horizontal="left"/>
    </xf>
    <xf numFmtId="40" fontId="16" fillId="10" borderId="0" xfId="0" applyNumberFormat="1" applyFont="1" applyFill="1" applyAlignment="1">
      <alignment horizontal="center"/>
    </xf>
    <xf numFmtId="40" fontId="17" fillId="6" borderId="0" xfId="0" applyNumberFormat="1" applyFont="1" applyFill="1" applyAlignment="1">
      <alignment horizontal="left"/>
    </xf>
    <xf numFmtId="40" fontId="0" fillId="0" borderId="0" xfId="0" applyNumberFormat="1" applyAlignment="1">
      <alignment horizontal="right"/>
    </xf>
    <xf numFmtId="40" fontId="2" fillId="3" borderId="2" xfId="0" applyNumberFormat="1" applyFont="1" applyFill="1" applyBorder="1" applyAlignment="1">
      <alignment horizontal="right"/>
    </xf>
    <xf numFmtId="40" fontId="2" fillId="0" borderId="0" xfId="0" applyNumberFormat="1" applyFont="1" applyAlignment="1">
      <alignment horizontal="left" indent="1"/>
    </xf>
    <xf numFmtId="40" fontId="15" fillId="0" borderId="0" xfId="0" applyNumberFormat="1" applyFont="1" applyAlignment="1">
      <alignment horizontal="center"/>
    </xf>
    <xf numFmtId="40" fontId="2" fillId="0" borderId="0" xfId="0" applyNumberFormat="1" applyFont="1" applyAlignment="1">
      <alignment horizontal="right"/>
    </xf>
    <xf numFmtId="40" fontId="2" fillId="3" borderId="26" xfId="0" applyNumberFormat="1" applyFont="1" applyFill="1" applyBorder="1"/>
    <xf numFmtId="40" fontId="15" fillId="3" borderId="26" xfId="0" applyNumberFormat="1" applyFont="1" applyFill="1" applyBorder="1" applyAlignment="1">
      <alignment horizontal="center"/>
    </xf>
    <xf numFmtId="40" fontId="2" fillId="3" borderId="26" xfId="0" applyNumberFormat="1" applyFont="1" applyFill="1" applyBorder="1" applyAlignment="1">
      <alignment horizontal="right"/>
    </xf>
    <xf numFmtId="40" fontId="2" fillId="3" borderId="0" xfId="0" applyNumberFormat="1" applyFont="1" applyFill="1" applyAlignment="1">
      <alignment horizontal="right"/>
    </xf>
    <xf numFmtId="40" fontId="2" fillId="3" borderId="0" xfId="0" applyNumberFormat="1" applyFont="1" applyFill="1" applyAlignment="1">
      <alignment horizontal="center"/>
    </xf>
    <xf numFmtId="40" fontId="8" fillId="0" borderId="0" xfId="0" applyNumberFormat="1" applyFont="1" applyAlignment="1">
      <alignment horizontal="right" indent="1"/>
    </xf>
    <xf numFmtId="40" fontId="11" fillId="5" borderId="1" xfId="0" applyNumberFormat="1" applyFont="1" applyFill="1" applyBorder="1" applyAlignment="1">
      <alignment horizontal="center"/>
    </xf>
    <xf numFmtId="40" fontId="18" fillId="0" borderId="0" xfId="0" applyNumberFormat="1" applyFont="1" applyAlignment="1">
      <alignment horizontal="left"/>
    </xf>
    <xf numFmtId="40" fontId="19" fillId="0" borderId="0" xfId="0" applyNumberFormat="1" applyFont="1" applyAlignment="1">
      <alignment horizontal="left"/>
    </xf>
    <xf numFmtId="40" fontId="11" fillId="5" borderId="6" xfId="0" applyNumberFormat="1" applyFont="1" applyFill="1" applyBorder="1" applyAlignment="1">
      <alignment horizontal="right"/>
    </xf>
    <xf numFmtId="40" fontId="11" fillId="5" borderId="6" xfId="0" applyNumberFormat="1" applyFont="1" applyFill="1" applyBorder="1"/>
    <xf numFmtId="40" fontId="6" fillId="0" borderId="0" xfId="0" applyNumberFormat="1" applyFont="1" applyAlignment="1">
      <alignment horizontal="right"/>
    </xf>
    <xf numFmtId="40" fontId="11" fillId="5" borderId="1" xfId="0" applyNumberFormat="1" applyFont="1" applyFill="1" applyBorder="1"/>
    <xf numFmtId="40" fontId="8" fillId="0" borderId="0" xfId="0" applyNumberFormat="1" applyFont="1" applyAlignment="1">
      <alignment horizontal="center"/>
    </xf>
    <xf numFmtId="40" fontId="13" fillId="0" borderId="1" xfId="0" applyNumberFormat="1" applyFont="1" applyBorder="1" applyAlignment="1">
      <alignment horizontal="right"/>
    </xf>
    <xf numFmtId="40" fontId="11" fillId="5" borderId="5" xfId="0" applyNumberFormat="1" applyFont="1" applyFill="1" applyBorder="1" applyAlignment="1">
      <alignment horizontal="center"/>
    </xf>
    <xf numFmtId="40" fontId="11" fillId="5" borderId="4" xfId="0" applyNumberFormat="1" applyFont="1" applyFill="1" applyBorder="1" applyAlignment="1">
      <alignment horizontal="center"/>
    </xf>
    <xf numFmtId="40" fontId="11" fillId="5" borderId="7" xfId="0" applyNumberFormat="1" applyFont="1" applyFill="1" applyBorder="1" applyAlignment="1">
      <alignment horizontal="center"/>
    </xf>
    <xf numFmtId="40" fontId="0" fillId="3" borderId="0" xfId="0" applyNumberFormat="1" applyFill="1" applyAlignment="1">
      <alignment horizontal="center"/>
    </xf>
    <xf numFmtId="40" fontId="13" fillId="0" borderId="6" xfId="0" applyNumberFormat="1" applyFont="1" applyBorder="1" applyAlignment="1">
      <alignment horizontal="right"/>
    </xf>
    <xf numFmtId="40" fontId="11" fillId="3" borderId="8" xfId="0" applyNumberFormat="1" applyFont="1" applyFill="1" applyBorder="1"/>
    <xf numFmtId="40" fontId="11" fillId="3" borderId="2" xfId="0" applyNumberFormat="1" applyFont="1" applyFill="1" applyBorder="1"/>
    <xf numFmtId="40" fontId="11" fillId="3" borderId="9" xfId="0" applyNumberFormat="1" applyFont="1" applyFill="1" applyBorder="1"/>
    <xf numFmtId="40" fontId="11" fillId="3" borderId="5" xfId="0" applyNumberFormat="1" applyFont="1" applyFill="1" applyBorder="1"/>
    <xf numFmtId="40" fontId="11" fillId="3" borderId="4" xfId="0" applyNumberFormat="1" applyFont="1" applyFill="1" applyBorder="1"/>
    <xf numFmtId="40" fontId="11" fillId="3" borderId="7" xfId="0" applyNumberFormat="1" applyFont="1" applyFill="1" applyBorder="1"/>
    <xf numFmtId="40" fontId="4" fillId="0" borderId="28" xfId="0" applyNumberFormat="1" applyFont="1" applyBorder="1"/>
    <xf numFmtId="40" fontId="13" fillId="0" borderId="0" xfId="0" applyNumberFormat="1" applyFont="1" applyAlignment="1">
      <alignment horizontal="left" indent="1"/>
    </xf>
    <xf numFmtId="40" fontId="13" fillId="0" borderId="0" xfId="0" applyNumberFormat="1" applyFont="1" applyAlignment="1">
      <alignment horizontal="left"/>
    </xf>
    <xf numFmtId="40" fontId="13" fillId="0" borderId="0" xfId="0" applyNumberFormat="1" applyFont="1"/>
    <xf numFmtId="40" fontId="11" fillId="5" borderId="12" xfId="0" applyNumberFormat="1" applyFont="1" applyFill="1" applyBorder="1"/>
    <xf numFmtId="40" fontId="11" fillId="5" borderId="0" xfId="0" applyNumberFormat="1" applyFont="1" applyFill="1"/>
    <xf numFmtId="40" fontId="11" fillId="5" borderId="11" xfId="0" applyNumberFormat="1" applyFont="1" applyFill="1" applyBorder="1"/>
    <xf numFmtId="40" fontId="11" fillId="5" borderId="8" xfId="0" applyNumberFormat="1" applyFont="1" applyFill="1" applyBorder="1"/>
    <xf numFmtId="40" fontId="11" fillId="5" borderId="2" xfId="0" applyNumberFormat="1" applyFont="1" applyFill="1" applyBorder="1"/>
    <xf numFmtId="40" fontId="11" fillId="5" borderId="9" xfId="0" applyNumberFormat="1" applyFont="1" applyFill="1" applyBorder="1"/>
    <xf numFmtId="40" fontId="11" fillId="5" borderId="4" xfId="0" applyNumberFormat="1" applyFont="1" applyFill="1" applyBorder="1"/>
    <xf numFmtId="40" fontId="11" fillId="5" borderId="5" xfId="0" applyNumberFormat="1" applyFont="1" applyFill="1" applyBorder="1"/>
    <xf numFmtId="40" fontId="11" fillId="5" borderId="7" xfId="0" applyNumberFormat="1" applyFont="1" applyFill="1" applyBorder="1"/>
    <xf numFmtId="40" fontId="4" fillId="0" borderId="28" xfId="0" applyNumberFormat="1" applyFont="1" applyBorder="1" applyAlignment="1">
      <alignment horizontal="left" indent="1"/>
    </xf>
    <xf numFmtId="40" fontId="4" fillId="0" borderId="8" xfId="0" applyNumberFormat="1" applyFont="1" applyBorder="1"/>
    <xf numFmtId="40" fontId="4" fillId="0" borderId="2" xfId="0" applyNumberFormat="1" applyFont="1" applyBorder="1"/>
    <xf numFmtId="40" fontId="4" fillId="0" borderId="9" xfId="0" applyNumberFormat="1" applyFont="1" applyBorder="1"/>
    <xf numFmtId="40" fontId="11" fillId="5" borderId="15" xfId="0" applyNumberFormat="1" applyFont="1" applyFill="1" applyBorder="1"/>
    <xf numFmtId="40" fontId="11" fillId="5" borderId="27" xfId="0" applyNumberFormat="1" applyFont="1" applyFill="1" applyBorder="1"/>
    <xf numFmtId="40" fontId="11" fillId="5" borderId="13" xfId="0" applyNumberFormat="1" applyFont="1" applyFill="1" applyBorder="1"/>
    <xf numFmtId="40" fontId="13" fillId="0" borderId="12" xfId="0" applyNumberFormat="1" applyFont="1" applyBorder="1"/>
    <xf numFmtId="40" fontId="13" fillId="0" borderId="11" xfId="0" applyNumberFormat="1" applyFont="1" applyBorder="1"/>
    <xf numFmtId="40" fontId="16" fillId="10" borderId="0" xfId="0" applyNumberFormat="1" applyFont="1" applyFill="1" applyAlignment="1">
      <alignment horizontal="left"/>
    </xf>
    <xf numFmtId="40" fontId="23" fillId="3" borderId="0" xfId="0" applyNumberFormat="1" applyFont="1" applyFill="1" applyAlignment="1">
      <alignment horizontal="center"/>
    </xf>
    <xf numFmtId="40" fontId="20" fillId="6" borderId="0" xfId="0" applyNumberFormat="1" applyFont="1" applyFill="1"/>
    <xf numFmtId="40" fontId="2" fillId="0" borderId="10" xfId="0" applyNumberFormat="1" applyFont="1" applyBorder="1" applyAlignment="1">
      <alignment horizontal="left" indent="1"/>
    </xf>
    <xf numFmtId="40" fontId="2" fillId="0" borderId="10" xfId="0" applyNumberFormat="1" applyFont="1" applyBorder="1"/>
    <xf numFmtId="40" fontId="9" fillId="9" borderId="0" xfId="0" applyNumberFormat="1" applyFont="1" applyFill="1" applyAlignment="1">
      <alignment horizontal="left" vertical="center"/>
    </xf>
    <xf numFmtId="40" fontId="17" fillId="3" borderId="0" xfId="0" applyNumberFormat="1" applyFont="1" applyFill="1" applyAlignment="1">
      <alignment horizontal="center"/>
    </xf>
    <xf numFmtId="40" fontId="24" fillId="3" borderId="0" xfId="0" applyNumberFormat="1" applyFont="1" applyFill="1" applyAlignment="1">
      <alignment horizontal="center"/>
    </xf>
    <xf numFmtId="40" fontId="8" fillId="3" borderId="0" xfId="0" applyNumberFormat="1" applyFont="1" applyFill="1"/>
    <xf numFmtId="40" fontId="3" fillId="10" borderId="18" xfId="0" applyNumberFormat="1" applyFont="1" applyFill="1" applyBorder="1" applyAlignment="1">
      <alignment horizontal="center"/>
    </xf>
    <xf numFmtId="40" fontId="3" fillId="10" borderId="16" xfId="0" applyNumberFormat="1" applyFont="1" applyFill="1" applyBorder="1" applyAlignment="1">
      <alignment horizontal="center"/>
    </xf>
    <xf numFmtId="40" fontId="3" fillId="10" borderId="21" xfId="0" applyNumberFormat="1" applyFont="1" applyFill="1" applyBorder="1" applyAlignment="1">
      <alignment horizontal="center"/>
    </xf>
    <xf numFmtId="40" fontId="2" fillId="3" borderId="19" xfId="0" applyNumberFormat="1" applyFont="1" applyFill="1" applyBorder="1" applyAlignment="1">
      <alignment horizontal="center"/>
    </xf>
    <xf numFmtId="40" fontId="0" fillId="0" borderId="1" xfId="0" applyNumberFormat="1" applyBorder="1"/>
    <xf numFmtId="40" fontId="0" fillId="0" borderId="22" xfId="0" applyNumberFormat="1" applyBorder="1"/>
    <xf numFmtId="40" fontId="2" fillId="0" borderId="1" xfId="0" applyNumberFormat="1" applyFont="1" applyBorder="1"/>
    <xf numFmtId="40" fontId="2" fillId="3" borderId="20" xfId="0" applyNumberFormat="1" applyFont="1" applyFill="1" applyBorder="1" applyAlignment="1">
      <alignment horizontal="center"/>
    </xf>
    <xf numFmtId="40" fontId="0" fillId="0" borderId="17" xfId="0" applyNumberFormat="1" applyBorder="1"/>
    <xf numFmtId="40" fontId="0" fillId="0" borderId="23" xfId="0" applyNumberFormat="1" applyBorder="1"/>
    <xf numFmtId="0" fontId="12" fillId="5" borderId="6" xfId="0" applyNumberFormat="1" applyFont="1" applyFill="1" applyBorder="1" applyAlignment="1">
      <alignment horizontal="center"/>
    </xf>
    <xf numFmtId="40" fontId="43" fillId="12" borderId="0" xfId="0" applyNumberFormat="1" applyFont="1" applyFill="1" applyAlignment="1">
      <alignment horizontal="right"/>
    </xf>
    <xf numFmtId="0" fontId="37" fillId="12" borderId="1" xfId="0" applyNumberFormat="1" applyFont="1" applyFill="1" applyBorder="1" applyAlignment="1">
      <alignment horizontal="center"/>
    </xf>
    <xf numFmtId="0" fontId="41" fillId="0" borderId="34" xfId="0" applyNumberFormat="1" applyFont="1" applyBorder="1" applyAlignment="1">
      <alignment horizontal="left"/>
    </xf>
    <xf numFmtId="40" fontId="13" fillId="0" borderId="0" xfId="0" applyNumberFormat="1" applyFont="1" applyAlignment="1"/>
    <xf numFmtId="40" fontId="11" fillId="5" borderId="12" xfId="0" applyNumberFormat="1" applyFont="1" applyFill="1" applyBorder="1" applyAlignment="1"/>
    <xf numFmtId="40" fontId="11" fillId="5" borderId="0" xfId="0" applyNumberFormat="1" applyFont="1" applyFill="1" applyAlignment="1"/>
    <xf numFmtId="40" fontId="11" fillId="5" borderId="11" xfId="0" applyNumberFormat="1" applyFont="1" applyFill="1" applyBorder="1" applyAlignment="1"/>
    <xf numFmtId="40" fontId="11" fillId="5" borderId="8" xfId="0" applyNumberFormat="1" applyFont="1" applyFill="1" applyBorder="1" applyAlignment="1"/>
    <xf numFmtId="40" fontId="11" fillId="5" borderId="2" xfId="0" applyNumberFormat="1" applyFont="1" applyFill="1" applyBorder="1" applyAlignment="1"/>
    <xf numFmtId="40" fontId="11" fillId="5" borderId="9" xfId="0" applyNumberFormat="1" applyFont="1" applyFill="1" applyBorder="1" applyAlignment="1"/>
    <xf numFmtId="40" fontId="11" fillId="5" borderId="4" xfId="0" applyNumberFormat="1" applyFont="1" applyFill="1" applyBorder="1" applyAlignment="1"/>
    <xf numFmtId="40" fontId="44" fillId="0" borderId="0" xfId="0" applyNumberFormat="1" applyFont="1" applyAlignment="1">
      <alignment horizontal="left" vertical="center"/>
    </xf>
    <xf numFmtId="40" fontId="44" fillId="0" borderId="28" xfId="0" applyNumberFormat="1" applyFont="1" applyBorder="1" applyAlignment="1">
      <alignment horizontal="left" vertical="center"/>
    </xf>
    <xf numFmtId="40" fontId="44" fillId="0" borderId="29" xfId="0" applyNumberFormat="1" applyFont="1" applyBorder="1" applyAlignment="1">
      <alignment horizontal="left" vertical="top" wrapText="1"/>
    </xf>
    <xf numFmtId="40" fontId="45" fillId="9" borderId="0" xfId="0" applyNumberFormat="1" applyFont="1" applyFill="1" applyAlignment="1">
      <alignment horizontal="center" vertical="center"/>
    </xf>
    <xf numFmtId="40" fontId="5" fillId="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9DFD0D-5A32-45C2-9125-A01849FA0495}"/>
  </tableStyles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3011959</xdr:colOff>
      <xdr:row>6</xdr:row>
      <xdr:rowOff>5025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DF1A1D-76BC-9223-DF43-35BB28E78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11959" cy="147753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8" Type="http://schemas.microsoft.com/office/2011/relationships/webextension" Target="webextension8.xml"/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Relationship Id="rId9" Type="http://schemas.microsoft.com/office/2011/relationships/webextension" Target="webextension9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5">
    <wetp:webextensionref xmlns:r="http://schemas.openxmlformats.org/officeDocument/2006/relationships" r:id="rId3"/>
  </wetp:taskpane>
  <wetp:taskpane dockstate="right" visibility="0" width="422" row="6">
    <wetp:webextensionref xmlns:r="http://schemas.openxmlformats.org/officeDocument/2006/relationships" r:id="rId4"/>
  </wetp:taskpane>
  <wetp:taskpane dockstate="right" visibility="0" width="350" row="7">
    <wetp:webextensionref xmlns:r="http://schemas.openxmlformats.org/officeDocument/2006/relationships" r:id="rId5"/>
  </wetp:taskpane>
  <wetp:taskpane dockstate="right" visibility="0" width="350" row="7">
    <wetp:webextensionref xmlns:r="http://schemas.openxmlformats.org/officeDocument/2006/relationships" r:id="rId6"/>
  </wetp:taskpane>
  <wetp:taskpane dockstate="right" visibility="0" width="355" row="7">
    <wetp:webextensionref xmlns:r="http://schemas.openxmlformats.org/officeDocument/2006/relationships" r:id="rId7"/>
  </wetp:taskpane>
  <wetp:taskpane dockstate="right" visibility="0" width="350" row="7">
    <wetp:webextensionref xmlns:r="http://schemas.openxmlformats.org/officeDocument/2006/relationships" r:id="rId8"/>
  </wetp:taskpane>
  <wetp:taskpane dockstate="right" visibility="0" width="350" row="4">
    <wetp:webextensionref xmlns:r="http://schemas.openxmlformats.org/officeDocument/2006/relationships" r:id="rId9"/>
  </wetp:taskpane>
</wetp:taskpanes>
</file>

<file path=xl/webextensions/webextension1.xml><?xml version="1.0" encoding="utf-8"?>
<we:webextension xmlns:we="http://schemas.microsoft.com/office/webextensions/webextension/2010/11" id="{8B33AD77-BB05-4754-9FAC-BF702825985B}">
  <we:reference id="wa200002663" version="1.8.0.0" store="en-US" storeType="OMEX"/>
  <we:alternateReferences>
    <we:reference id="wa200002663" version="1.8.0.0" store="WA2000026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PBF</we:customFunctionIds>
        <we:customFunctionIds>PBM</we:customFunctionIds>
        <we:customFunctionIds>PBD</we:customFunctionIds>
        <we:customFunctionIds>PBA</we:customFunctionIds>
        <we:customFunctionIds>PBS</we:customFunctionIds>
        <we:customFunctionIds>PBEQR</we:customFunctionIds>
        <we:customFunctionIds>PBIMAGE</we:customFunctionIds>
        <we:customFunctionIds>PBFS</we:customFunctionIds>
        <we:customFunctionIds>PBMATCHPBID</we:customFunctionIds>
        <we:customFunctionIds>PBMATCHSYMBOL</we:customFunctionIds>
        <we:customFunctionIds>PBR</we:customFunctionIds>
        <we:customFunctionIds>PBCHARTMARKET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D89E859-BCA8-4204-96D8-3BD6C6F79D38}">
  <we:reference id="wa200008399" version="1.0.0.4" store="en-US" storeType="OMEX"/>
  <we:alternateReferences>
    <we:reference id="wa200008399" version="1.0.0.4" store="wa200008399" storeType="OMEX"/>
  </we:alternateReferences>
  <we:properties>
    <we:property name="ProjectMetadata" value="&quot;{\&quot;projectId\&quot;:\&quot;aa212c1f-cbda-49d3-90ad-9ea8607e6c8c\&quot;}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5576346D-E04A-4B86-AAB1-2293C19E8CB2}">
  <we:reference id="wa200004387" version="1.3.6.0" store="en-IN" storeType="OMEX"/>
  <we:alternateReferences>
    <we:reference id="WA200004387" version="1.3.6.0" store="WA200004387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7DA44AEE-B778-47D4-9238-308652EF7484}">
  <we:reference id="wa200009152" version="1.0.0.4" store="en-US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4EFB340E-460F-4118-877A-4FE2CA4BF826}">
  <we:reference id="wa200004835" version="2026.3.2.0" store="en-IN" storeType="OMEX"/>
  <we:alternateReferences>
    <we:reference id="WA200004835" version="2026.3.2.0" store="WA2000048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_xldudf_DR_GET</we:customFunctionIds>
        <we:customFunctionIds>_xldudf_DR_YTD</we:customFunctionIds>
        <we:customFunctionIds>_xldudf_DR_YTG</we:customFunctionIds>
        <we:customFunctionIds>_xldudf_DR_QTD</we:customFunctionIds>
        <we:customFunctionIds>_xldudf_DR_QTG</we:customFunctionIds>
        <we:customFunctionIds>_xldudf_DR_MTD</we:customFunctionIds>
        <we:customFunctionIds>_xldudf_DR_MTG</we:customFunctionIds>
        <we:customFunctionIds>_xldudf_DR_INCLUDE</we:customFunctionIds>
        <we:customFunctionIds>_xldudf_DR_TABLEFILTERNAME</we:customFunctionIds>
        <we:customFunctionIds>_xldudf_DR_TABLEFILTER</we:customFunctionIds>
        <we:customFunctionIds>_xldudf_DR_TABLEFILTERDATE</we:customFunctionIds>
        <we:customFunctionIds>_xldudf_DR_GLOBALFILTERNAME</we:customFunctionIds>
        <we:customFunctionIds>_xldudf_DR_GLOBALFILTER</we:customFunctionIds>
        <we:customFunctionIds>_xldudf_DR_GLOBALFILTERDATE</we:customFunctionIds>
        <we:customFunctionIds>_xldudf_DR_DATE</we:customFunctionIds>
        <we:customFunctionIds>_xldudf_DR_RANGE</we:customFunctionIds>
        <we:customFunctionIds>_xldudf_DR_FORECAST</we:customFunctionIds>
        <we:customFunctionIds>_xldudf_DR_TABLELISTNAME</we:customFunctionIds>
        <we:customFunctionIds>_xldudf_DR_TABLELISTDATE</we:customFunctionIds>
        <we:customFunctionIds>_xldudf_DR_TABLELIST</we:customFunctionIds>
        <we:customFunctionIds>_xldudf_DR_FUNCTIONFILTERNAME</we:customFunctionIds>
        <we:customFunctionIds>_xldudf_DR_FUNCTIONFILTERDATE</we:customFunctionIds>
        <we:customFunctionIds>_xldudf_DR_FUNCTIONFILTER</we:customFunctionIds>
        <we:customFunctionIds>_xldudf_DR_FNNAME</we:customFunctionIds>
      </we:customFunctionIdList>
    </a:ext>
  </we:extLst>
</we:webextension>
</file>

<file path=xl/webextensions/webextension6.xml><?xml version="1.0" encoding="utf-8"?>
<we:webextension xmlns:we="http://schemas.microsoft.com/office/webextensions/webextension/2010/11" id="{A9698437-DCB2-4831-BBCC-8D6874F81C83}">
  <we:reference id="wa200005292" version="1.0.33.0" store="en-IN" storeType="OMEX"/>
  <we:alternateReferences>
    <we:reference id="WA200005292" version="1.0.33.0" store="WA200005292" storeType="OMEX"/>
  </we:alternateReferences>
  <we:properties/>
  <we:bindings/>
  <we:snapshot xmlns:r="http://schemas.openxmlformats.org/officeDocument/2006/relationships"/>
</we:webextension>
</file>

<file path=xl/webextensions/webextension7.xml><?xml version="1.0" encoding="utf-8"?>
<we:webextension xmlns:we="http://schemas.microsoft.com/office/webextensions/webextension/2010/11" id="{75C407F9-7346-460C-AB53-99E6A772786C}">
  <we:reference id="wa200004907" version="2.0.0.0" store="en-US" storeType="OMEX"/>
  <we:alternateReferences>
    <we:reference id="wa200004907" version="2.0.0.0" store="wa200004907" storeType="OMEX"/>
  </we:alternateReferences>
  <we:properties/>
  <we:bindings/>
  <we:snapshot xmlns:r="http://schemas.openxmlformats.org/officeDocument/2006/relationships"/>
</we:webextension>
</file>

<file path=xl/webextensions/webextension8.xml><?xml version="1.0" encoding="utf-8"?>
<we:webextension xmlns:we="http://schemas.microsoft.com/office/webextensions/webextension/2010/11" id="{7D5ADC17-6E37-414F-93DC-1FF85F567C83}">
  <we:reference id="wa200001657" version="1.0.0.0" store="en-IN" storeType="OMEX"/>
  <we:alternateReferences>
    <we:reference id="WA200001657" version="1.0.0.0" store="WA200001657" storeType="OMEX"/>
  </we:alternateReferences>
  <we:properties/>
  <we:bindings/>
  <we:snapshot xmlns:r="http://schemas.openxmlformats.org/officeDocument/2006/relationships"/>
</we:webextension>
</file>

<file path=xl/webextensions/webextension9.xml><?xml version="1.0" encoding="utf-8"?>
<we:webextension xmlns:we="http://schemas.microsoft.com/office/webextensions/webextension/2010/11" id="{E06AA98B-A85F-47E3-815C-591112710C38}">
  <we:reference id="wa200009379" version="1.0.0.16" store="en-IN" storeType="OMEX"/>
  <we:alternateReferences>
    <we:reference id="WA200009379" version="1.0.0.16" store="WA200009379" storeType="OMEX"/>
  </we:alternateReferences>
  <we:properties>
    <we:property name="excelence_wb_id" value="&quot;64664d0e-15d5-4db6-9ec0-db8322b95d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4541-B812-4606-B780-B62B01487DF3}">
  <sheetPr>
    <tabColor rgb="FF00B050"/>
  </sheetPr>
  <dimension ref="A1:I53"/>
  <sheetViews>
    <sheetView showGridLines="0" topLeftCell="B1" zoomScale="82" zoomScaleNormal="185" workbookViewId="0">
      <selection activeCell="C18" sqref="C18"/>
    </sheetView>
  </sheetViews>
  <sheetFormatPr defaultRowHeight="15.75" customHeight="1" x14ac:dyDescent="0.25"/>
  <cols>
    <col min="1" max="1" width="4.5546875" style="19" hidden="1" customWidth="1"/>
    <col min="2" max="2" width="51" style="19" customWidth="1"/>
    <col min="3" max="3" width="86.109375" style="19" customWidth="1"/>
    <col min="4" max="4" width="32.88671875" style="19" customWidth="1"/>
    <col min="5" max="5" width="35.5546875" style="19" customWidth="1"/>
    <col min="6" max="6" width="4.5546875" style="19" hidden="1" customWidth="1"/>
    <col min="7" max="7" width="2.109375" style="19" customWidth="1"/>
    <col min="8" max="8" width="20.44140625" style="19" customWidth="1"/>
    <col min="9" max="9" width="12.109375" style="19" customWidth="1"/>
    <col min="10" max="16384" width="8.88671875" style="19"/>
  </cols>
  <sheetData>
    <row r="1" spans="1:9" ht="8.1" customHeight="1" x14ac:dyDescent="0.25">
      <c r="A1" s="149"/>
      <c r="B1" s="149"/>
      <c r="C1" s="149"/>
      <c r="D1" s="149"/>
      <c r="E1" s="149"/>
      <c r="F1" s="149"/>
    </row>
    <row r="2" spans="1:9" ht="8.1" customHeight="1" x14ac:dyDescent="0.25">
      <c r="A2" s="149"/>
      <c r="B2" s="149"/>
      <c r="C2" s="149"/>
      <c r="D2" s="149"/>
      <c r="E2" s="149"/>
      <c r="F2" s="149"/>
    </row>
    <row r="3" spans="1:9" ht="50.1" customHeight="1" x14ac:dyDescent="0.25">
      <c r="A3" s="149"/>
      <c r="B3" s="150" t="s">
        <v>341</v>
      </c>
      <c r="C3" s="150"/>
      <c r="D3" s="150"/>
      <c r="E3" s="150"/>
      <c r="F3" s="149"/>
    </row>
    <row r="4" spans="1:9" ht="24" customHeight="1" x14ac:dyDescent="0.25">
      <c r="A4" s="149"/>
      <c r="B4" s="312" t="s">
        <v>342</v>
      </c>
      <c r="C4" s="312"/>
      <c r="D4" s="312"/>
      <c r="E4" s="312"/>
      <c r="F4" s="149"/>
    </row>
    <row r="5" spans="1:9" ht="20.100000000000001" customHeight="1" x14ac:dyDescent="0.25">
      <c r="A5" s="149"/>
      <c r="B5" s="313" t="s">
        <v>343</v>
      </c>
      <c r="C5" s="313"/>
      <c r="D5" s="313"/>
      <c r="E5" s="313"/>
      <c r="F5" s="149"/>
    </row>
    <row r="6" spans="1:9" ht="8.1" customHeight="1" x14ac:dyDescent="0.25">
      <c r="A6" s="149"/>
      <c r="B6" s="149"/>
      <c r="C6" s="149"/>
      <c r="D6" s="149"/>
      <c r="E6" s="149"/>
      <c r="F6" s="149"/>
    </row>
    <row r="7" spans="1:9" ht="18" customHeight="1" x14ac:dyDescent="0.25">
      <c r="B7" s="151" t="s">
        <v>344</v>
      </c>
      <c r="C7" s="152"/>
      <c r="D7" s="152"/>
      <c r="E7" s="153" t="str">
        <f ca="1">"Valuation Date: "&amp;TEXT(TODAY(),"d-mmm-yyyy")</f>
        <v>Valuation Date: 6-May-2026</v>
      </c>
    </row>
    <row r="8" spans="1:9" ht="18" customHeight="1" x14ac:dyDescent="0.25">
      <c r="B8" s="154" t="str">
        <f>"Decision rule: BUY if weighted upside ≥ "&amp;TEXT(I12,"0.0%")&amp;"  •  HOLD if 0% to "&amp;TEXT(I12,"0.0%")&amp;"  •  REDUCE if "&amp;TEXT(I14,"0.0%")&amp;" to 0%  •  SELL if &lt; "&amp;TEXT(I14,"0.0%")</f>
        <v>Decision rule: BUY if weighted upside ≥ 15.0%  •  HOLD if 0% to 15.0%  •  REDUCE if -15.0% to 0%  •  SELL if &lt; -15.0%</v>
      </c>
      <c r="C8" s="154"/>
      <c r="D8" s="154"/>
    </row>
    <row r="9" spans="1:9" ht="8.1" customHeight="1" x14ac:dyDescent="0.25"/>
    <row r="10" spans="1:9" ht="21" x14ac:dyDescent="0.25">
      <c r="B10" s="155" t="s">
        <v>345</v>
      </c>
      <c r="C10" s="156"/>
      <c r="D10" s="156"/>
      <c r="E10" s="156"/>
      <c r="H10" s="157" t="s">
        <v>423</v>
      </c>
      <c r="I10" s="158"/>
    </row>
    <row r="11" spans="1:9" ht="36" customHeight="1" x14ac:dyDescent="0.25">
      <c r="B11" s="159" t="s">
        <v>346</v>
      </c>
      <c r="C11" s="159" t="s">
        <v>347</v>
      </c>
      <c r="D11" s="159" t="s">
        <v>348</v>
      </c>
      <c r="E11" s="159" t="s">
        <v>349</v>
      </c>
      <c r="H11" s="160" t="s">
        <v>284</v>
      </c>
      <c r="I11" s="160" t="s">
        <v>424</v>
      </c>
    </row>
    <row r="12" spans="1:9" ht="36" customHeight="1" x14ac:dyDescent="0.25">
      <c r="B12" s="161">
        <f>Assumptions!F7</f>
        <v>251</v>
      </c>
      <c r="C12" s="161">
        <f>DCF!F54</f>
        <v>287.17053713596374</v>
      </c>
      <c r="D12" s="161">
        <f>Summary!C43</f>
        <v>141.82559456043896</v>
      </c>
      <c r="E12" s="162" t="str">
        <f>IF(Summary!F43&gt;=I12,"BUY",IF(Summary!F43&gt;=I13,"HOLD",IF(Summary!F43&gt;=I14,"REDUCE","SELL")))</f>
        <v>SELL</v>
      </c>
      <c r="H12" s="163" t="s">
        <v>425</v>
      </c>
      <c r="I12" s="164">
        <v>0.15</v>
      </c>
    </row>
    <row r="13" spans="1:9" ht="36" customHeight="1" x14ac:dyDescent="0.25">
      <c r="B13" s="165" t="s">
        <v>350</v>
      </c>
      <c r="C13" s="165" t="str">
        <f>"vs current: "&amp;TEXT(DCF!F56,"+0.0%;-0.0%")</f>
        <v>vs current: +14.4%</v>
      </c>
      <c r="D13" s="165" t="str">
        <f>"vs current: "&amp;TEXT(Summary!F43,"+0.0%;-0.0%")</f>
        <v>vs current: -43.5%</v>
      </c>
      <c r="E13" s="165" t="str">
        <f>"Weighted upside: "&amp;TEXT(Summary!F43,"+0.0%;-0.0%")</f>
        <v>Weighted upside: -43.5%</v>
      </c>
      <c r="H13" s="163" t="s">
        <v>426</v>
      </c>
      <c r="I13" s="164">
        <v>0</v>
      </c>
    </row>
    <row r="14" spans="1:9" ht="30" customHeight="1" x14ac:dyDescent="0.25">
      <c r="D14" s="166"/>
      <c r="E14" s="166"/>
      <c r="H14" s="163" t="s">
        <v>427</v>
      </c>
      <c r="I14" s="164">
        <v>-0.15</v>
      </c>
    </row>
    <row r="15" spans="1:9" ht="8.1" customHeight="1" x14ac:dyDescent="0.25"/>
    <row r="16" spans="1:9" ht="21.95" customHeight="1" x14ac:dyDescent="0.25">
      <c r="B16" s="155" t="s">
        <v>351</v>
      </c>
      <c r="C16" s="156"/>
      <c r="D16" s="156"/>
      <c r="E16" s="156"/>
    </row>
    <row r="17" spans="2:5" ht="18" customHeight="1" x14ac:dyDescent="0.3">
      <c r="B17" s="167" t="s">
        <v>352</v>
      </c>
      <c r="C17" s="168" t="s">
        <v>353</v>
      </c>
      <c r="D17" s="169" t="s">
        <v>354</v>
      </c>
      <c r="E17" s="170" t="s">
        <v>355</v>
      </c>
    </row>
    <row r="18" spans="2:5" ht="18" customHeight="1" x14ac:dyDescent="0.3">
      <c r="B18" s="171" t="s">
        <v>356</v>
      </c>
      <c r="C18" s="172" t="s">
        <v>357</v>
      </c>
      <c r="D18" s="173" t="s">
        <v>358</v>
      </c>
      <c r="E18" s="174" t="s">
        <v>359</v>
      </c>
    </row>
    <row r="19" spans="2:5" ht="18" customHeight="1" x14ac:dyDescent="0.3">
      <c r="B19" s="171" t="s">
        <v>360</v>
      </c>
      <c r="C19" s="300">
        <v>2008</v>
      </c>
      <c r="D19" s="173" t="s">
        <v>361</v>
      </c>
      <c r="E19" s="174" t="s">
        <v>362</v>
      </c>
    </row>
    <row r="20" spans="2:5" ht="18" customHeight="1" x14ac:dyDescent="0.3">
      <c r="B20" s="171" t="s">
        <v>363</v>
      </c>
      <c r="C20" s="172" t="s">
        <v>364</v>
      </c>
      <c r="D20" s="173" t="s">
        <v>365</v>
      </c>
      <c r="E20" s="174" t="s">
        <v>366</v>
      </c>
    </row>
    <row r="21" spans="2:5" ht="18" customHeight="1" x14ac:dyDescent="0.3">
      <c r="B21" s="171" t="s">
        <v>367</v>
      </c>
      <c r="C21" s="172" t="s">
        <v>368</v>
      </c>
      <c r="D21" s="173" t="s">
        <v>369</v>
      </c>
      <c r="E21" s="174" t="s">
        <v>370</v>
      </c>
    </row>
    <row r="22" spans="2:5" ht="18" customHeight="1" x14ac:dyDescent="0.3">
      <c r="B22" s="175" t="s">
        <v>371</v>
      </c>
      <c r="C22" s="176" t="s">
        <v>372</v>
      </c>
      <c r="D22" s="177" t="s">
        <v>373</v>
      </c>
      <c r="E22" s="178" t="s">
        <v>374</v>
      </c>
    </row>
    <row r="23" spans="2:5" x14ac:dyDescent="0.25"/>
    <row r="24" spans="2:5" ht="21.95" customHeight="1" x14ac:dyDescent="0.25">
      <c r="B24" s="155" t="s">
        <v>375</v>
      </c>
      <c r="C24" s="156"/>
      <c r="D24" s="156"/>
      <c r="E24" s="156"/>
    </row>
    <row r="25" spans="2:5" ht="18" customHeight="1" x14ac:dyDescent="0.25">
      <c r="B25" s="179" t="s">
        <v>376</v>
      </c>
      <c r="C25" s="179" t="s">
        <v>377</v>
      </c>
      <c r="D25" s="179" t="s">
        <v>378</v>
      </c>
      <c r="E25" s="179" t="s">
        <v>379</v>
      </c>
    </row>
    <row r="26" spans="2:5" ht="37.5" x14ac:dyDescent="0.25">
      <c r="B26" s="180" t="s">
        <v>200</v>
      </c>
      <c r="C26" s="181" t="s">
        <v>380</v>
      </c>
      <c r="D26" s="182" t="s">
        <v>381</v>
      </c>
      <c r="E26" s="183" t="s">
        <v>382</v>
      </c>
    </row>
    <row r="27" spans="2:5" ht="37.5" x14ac:dyDescent="0.25">
      <c r="B27" s="184" t="s">
        <v>202</v>
      </c>
      <c r="C27" s="185" t="s">
        <v>383</v>
      </c>
      <c r="D27" s="186" t="s">
        <v>384</v>
      </c>
      <c r="E27" s="187" t="s">
        <v>385</v>
      </c>
    </row>
    <row r="28" spans="2:5" ht="37.5" x14ac:dyDescent="0.25">
      <c r="B28" s="184" t="s">
        <v>386</v>
      </c>
      <c r="C28" s="185" t="s">
        <v>387</v>
      </c>
      <c r="D28" s="186" t="s">
        <v>388</v>
      </c>
      <c r="E28" s="187" t="s">
        <v>385</v>
      </c>
    </row>
    <row r="29" spans="2:5" ht="18.75" x14ac:dyDescent="0.25">
      <c r="B29" s="188" t="s">
        <v>203</v>
      </c>
      <c r="C29" s="189" t="s">
        <v>389</v>
      </c>
      <c r="D29" s="190" t="s">
        <v>390</v>
      </c>
      <c r="E29" s="191" t="s">
        <v>391</v>
      </c>
    </row>
    <row r="30" spans="2:5" x14ac:dyDescent="0.25"/>
    <row r="31" spans="2:5" ht="21.95" customHeight="1" x14ac:dyDescent="0.25">
      <c r="B31" s="155" t="s">
        <v>392</v>
      </c>
      <c r="C31" s="156"/>
      <c r="D31" s="156"/>
      <c r="E31" s="156"/>
    </row>
    <row r="32" spans="2:5" ht="18.75" x14ac:dyDescent="0.3">
      <c r="B32" s="167" t="s">
        <v>393</v>
      </c>
      <c r="C32" s="192" t="s">
        <v>394</v>
      </c>
      <c r="D32" s="193"/>
      <c r="E32" s="194"/>
    </row>
    <row r="33" spans="2:5" ht="18.75" x14ac:dyDescent="0.3">
      <c r="B33" s="171" t="s">
        <v>395</v>
      </c>
      <c r="C33" s="195" t="s">
        <v>396</v>
      </c>
      <c r="D33" s="196"/>
      <c r="E33" s="197"/>
    </row>
    <row r="34" spans="2:5" ht="37.5" x14ac:dyDescent="0.3">
      <c r="B34" s="171" t="s">
        <v>397</v>
      </c>
      <c r="C34" s="195" t="s">
        <v>398</v>
      </c>
      <c r="D34" s="196"/>
      <c r="E34" s="197"/>
    </row>
    <row r="35" spans="2:5" ht="37.5" x14ac:dyDescent="0.3">
      <c r="B35" s="175" t="s">
        <v>399</v>
      </c>
      <c r="C35" s="198" t="s">
        <v>400</v>
      </c>
      <c r="D35" s="199"/>
      <c r="E35" s="200"/>
    </row>
    <row r="36" spans="2:5" ht="8.1" customHeight="1" x14ac:dyDescent="0.25"/>
    <row r="37" spans="2:5" ht="21.95" customHeight="1" x14ac:dyDescent="0.25">
      <c r="B37" s="155" t="s">
        <v>401</v>
      </c>
      <c r="C37" s="156"/>
      <c r="D37" s="156"/>
      <c r="E37" s="156"/>
    </row>
    <row r="38" spans="2:5" ht="18" customHeight="1" x14ac:dyDescent="0.25">
      <c r="B38" s="201" t="s">
        <v>402</v>
      </c>
      <c r="C38" s="201" t="s">
        <v>194</v>
      </c>
      <c r="D38" s="201" t="s">
        <v>320</v>
      </c>
      <c r="E38" s="201" t="s">
        <v>403</v>
      </c>
    </row>
    <row r="39" spans="2:5" ht="18" customHeight="1" x14ac:dyDescent="0.25">
      <c r="B39" s="202" t="s">
        <v>404</v>
      </c>
      <c r="C39" s="203">
        <f>Assumptions!T24</f>
        <v>0.13021170827598949</v>
      </c>
      <c r="D39" s="204">
        <f>Scenarios!D52</f>
        <v>87.613016303251484</v>
      </c>
      <c r="E39" s="204">
        <f>Scenarios!D54</f>
        <v>-0.65094415815437656</v>
      </c>
    </row>
    <row r="40" spans="2:5" ht="18" customHeight="1" x14ac:dyDescent="0.25">
      <c r="B40" s="202" t="s">
        <v>405</v>
      </c>
      <c r="C40" s="203">
        <f>Assumptions!U24</f>
        <v>0.12017266956655313</v>
      </c>
      <c r="D40" s="204">
        <f>Scenarios!D103</f>
        <v>287.17053713596374</v>
      </c>
      <c r="E40" s="204">
        <f>Scenarios!D105</f>
        <v>0.14410572564128987</v>
      </c>
    </row>
    <row r="41" spans="2:5" ht="18" customHeight="1" x14ac:dyDescent="0.25">
      <c r="B41" s="202" t="s">
        <v>406</v>
      </c>
      <c r="C41" s="203">
        <f>Assumptions!V24</f>
        <v>0.14359709322190464</v>
      </c>
      <c r="D41" s="204">
        <f>Scenarios!D154</f>
        <v>25.082800166204176</v>
      </c>
      <c r="E41" s="204">
        <f>Scenarios!D156</f>
        <v>-0.9000685252342463</v>
      </c>
    </row>
    <row r="42" spans="2:5" ht="8.1" customHeight="1" x14ac:dyDescent="0.25"/>
    <row r="43" spans="2:5" ht="21.95" customHeight="1" x14ac:dyDescent="0.25">
      <c r="B43" s="155" t="s">
        <v>407</v>
      </c>
      <c r="C43" s="156"/>
      <c r="D43" s="156"/>
      <c r="E43" s="156"/>
    </row>
    <row r="44" spans="2:5" ht="37.5" x14ac:dyDescent="0.3">
      <c r="B44" s="167" t="s">
        <v>408</v>
      </c>
      <c r="C44" s="192" t="s">
        <v>409</v>
      </c>
      <c r="D44" s="205"/>
      <c r="E44" s="206"/>
    </row>
    <row r="45" spans="2:5" ht="37.5" x14ac:dyDescent="0.3">
      <c r="B45" s="171" t="s">
        <v>410</v>
      </c>
      <c r="C45" s="195" t="s">
        <v>411</v>
      </c>
      <c r="D45" s="207"/>
      <c r="E45" s="208"/>
    </row>
    <row r="46" spans="2:5" ht="18.75" x14ac:dyDescent="0.3">
      <c r="B46" s="171" t="s">
        <v>412</v>
      </c>
      <c r="C46" s="195" t="s">
        <v>413</v>
      </c>
      <c r="D46" s="207"/>
      <c r="E46" s="208"/>
    </row>
    <row r="47" spans="2:5" ht="18.75" x14ac:dyDescent="0.3">
      <c r="B47" s="171" t="s">
        <v>414</v>
      </c>
      <c r="C47" s="195" t="s">
        <v>415</v>
      </c>
      <c r="D47" s="207"/>
      <c r="E47" s="208"/>
    </row>
    <row r="48" spans="2:5" ht="18.75" x14ac:dyDescent="0.3">
      <c r="B48" s="171" t="s">
        <v>416</v>
      </c>
      <c r="C48" s="195" t="s">
        <v>417</v>
      </c>
      <c r="D48" s="207"/>
      <c r="E48" s="208"/>
    </row>
    <row r="49" spans="2:5" ht="21.75" customHeight="1" x14ac:dyDescent="0.3">
      <c r="B49" s="175" t="s">
        <v>418</v>
      </c>
      <c r="C49" s="198" t="s">
        <v>419</v>
      </c>
      <c r="D49" s="209"/>
      <c r="E49" s="210"/>
    </row>
    <row r="50" spans="2:5" ht="18" customHeight="1" x14ac:dyDescent="0.25"/>
    <row r="51" spans="2:5" x14ac:dyDescent="0.25">
      <c r="B51" s="309" t="s">
        <v>420</v>
      </c>
      <c r="C51" s="309"/>
      <c r="D51" s="211"/>
      <c r="E51" s="211"/>
    </row>
    <row r="52" spans="2:5" x14ac:dyDescent="0.25">
      <c r="B52" s="310" t="s">
        <v>421</v>
      </c>
      <c r="C52" s="310"/>
      <c r="D52" s="211"/>
      <c r="E52" s="211"/>
    </row>
    <row r="53" spans="2:5" ht="30.75" customHeight="1" x14ac:dyDescent="0.25">
      <c r="B53" s="311" t="s">
        <v>422</v>
      </c>
      <c r="C53" s="311"/>
      <c r="D53" s="212"/>
      <c r="E53" s="212"/>
    </row>
  </sheetData>
  <mergeCells count="7">
    <mergeCell ref="B52:C52"/>
    <mergeCell ref="B53:C53"/>
    <mergeCell ref="B8:D8"/>
    <mergeCell ref="B3:E3"/>
    <mergeCell ref="B4:E4"/>
    <mergeCell ref="B5:E5"/>
    <mergeCell ref="B51:C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A5D9-7603-4202-81DD-0F616AF7BA9B}">
  <sheetPr>
    <tabColor rgb="FF0070C0"/>
  </sheetPr>
  <dimension ref="A1:F52"/>
  <sheetViews>
    <sheetView showGridLines="0" zoomScale="84" workbookViewId="0">
      <pane ySplit="8" topLeftCell="A18" activePane="bottomLeft" state="frozen"/>
      <selection pane="bottomLeft" activeCell="C19" sqref="C19"/>
    </sheetView>
  </sheetViews>
  <sheetFormatPr defaultRowHeight="15.75" customHeight="1" x14ac:dyDescent="0.25"/>
  <cols>
    <col min="1" max="1" width="48.109375" style="19" customWidth="1"/>
    <col min="2" max="2" width="14.109375" style="19" bestFit="1" customWidth="1"/>
    <col min="3" max="3" width="14.44140625" style="19" bestFit="1" customWidth="1"/>
    <col min="4" max="4" width="26.77734375" style="19" bestFit="1" customWidth="1"/>
    <col min="5" max="6" width="16" style="19" customWidth="1"/>
    <col min="7" max="16384" width="8.88671875" style="19"/>
  </cols>
  <sheetData>
    <row r="1" spans="1:6" ht="30.75" customHeight="1" x14ac:dyDescent="0.3">
      <c r="A1" s="131" t="s">
        <v>278</v>
      </c>
      <c r="B1" s="132"/>
      <c r="C1" s="132"/>
      <c r="D1" s="132"/>
      <c r="E1" s="132"/>
      <c r="F1" s="132"/>
    </row>
    <row r="2" spans="1:6" x14ac:dyDescent="0.25">
      <c r="A2" s="133" t="s">
        <v>279</v>
      </c>
      <c r="B2" s="133"/>
      <c r="C2" s="133"/>
      <c r="D2" s="133"/>
      <c r="E2" s="133"/>
      <c r="F2" s="133"/>
    </row>
    <row r="3" spans="1:6" x14ac:dyDescent="0.25"/>
    <row r="4" spans="1:6" ht="20.100000000000001" customHeight="1" x14ac:dyDescent="0.25">
      <c r="A4" s="128" t="s">
        <v>280</v>
      </c>
      <c r="B4" s="128"/>
      <c r="C4" s="128"/>
      <c r="D4" s="128"/>
      <c r="E4" s="128"/>
      <c r="F4" s="128"/>
    </row>
    <row r="5" spans="1:6" ht="15.75" customHeight="1" x14ac:dyDescent="0.25">
      <c r="A5" s="213" t="s">
        <v>281</v>
      </c>
      <c r="B5" s="214" t="str">
        <f>Assumptions!T7</f>
        <v>Optimistic Case</v>
      </c>
      <c r="C5" s="215"/>
      <c r="D5" s="216" t="s">
        <v>314</v>
      </c>
      <c r="E5" s="217"/>
      <c r="F5" s="297">
        <v>1</v>
      </c>
    </row>
    <row r="6" spans="1:6" ht="15.75" customHeight="1" x14ac:dyDescent="0.25">
      <c r="A6" s="213" t="s">
        <v>315</v>
      </c>
      <c r="B6" s="218">
        <f>DCF!F54</f>
        <v>287.17053713596374</v>
      </c>
      <c r="C6" s="219"/>
      <c r="D6" s="220" t="s">
        <v>282</v>
      </c>
      <c r="E6" s="220"/>
      <c r="F6" s="218">
        <f>DCF!F56</f>
        <v>0.14410572564128987</v>
      </c>
    </row>
    <row r="7" spans="1:6" ht="15.75" customHeight="1" x14ac:dyDescent="0.25">
      <c r="A7" s="221" t="s">
        <v>340</v>
      </c>
      <c r="B7" s="221"/>
      <c r="C7" s="221"/>
      <c r="D7" s="221"/>
      <c r="E7" s="221"/>
      <c r="F7" s="221"/>
    </row>
    <row r="8" spans="1:6" ht="20.100000000000001" customHeight="1" x14ac:dyDescent="0.25">
      <c r="A8" s="126" t="s">
        <v>283</v>
      </c>
      <c r="B8" s="126"/>
      <c r="C8" s="126"/>
      <c r="D8" s="126"/>
      <c r="E8" s="126"/>
      <c r="F8" s="126"/>
    </row>
    <row r="9" spans="1:6" ht="15.75" customHeight="1" x14ac:dyDescent="0.25">
      <c r="A9" s="222" t="s">
        <v>284</v>
      </c>
      <c r="B9" s="223" t="s">
        <v>157</v>
      </c>
      <c r="C9" s="223" t="s">
        <v>264</v>
      </c>
      <c r="D9" s="223" t="s">
        <v>265</v>
      </c>
      <c r="E9" s="223" t="s">
        <v>266</v>
      </c>
      <c r="F9" s="223" t="s">
        <v>285</v>
      </c>
    </row>
    <row r="10" spans="1:6" ht="15.75" customHeight="1" x14ac:dyDescent="0.25">
      <c r="A10" s="224" t="s">
        <v>286</v>
      </c>
      <c r="B10" s="224"/>
      <c r="C10" s="224"/>
      <c r="D10" s="224"/>
      <c r="E10" s="224"/>
      <c r="F10" s="224"/>
    </row>
    <row r="11" spans="1:6" ht="15.75" customHeight="1" x14ac:dyDescent="0.25">
      <c r="A11" s="26" t="s">
        <v>194</v>
      </c>
      <c r="B11" s="138" t="s">
        <v>184</v>
      </c>
      <c r="C11" s="225">
        <f>Assumptions!T24</f>
        <v>0.13021170827598949</v>
      </c>
      <c r="D11" s="225">
        <f>Assumptions!U24</f>
        <v>0.12017266956655313</v>
      </c>
      <c r="E11" s="225">
        <f>Assumptions!V24</f>
        <v>0.14359709322190464</v>
      </c>
      <c r="F11" s="225">
        <f t="shared" ref="F11:F13" si="0">D11-E11</f>
        <v>-2.3424423655351509E-2</v>
      </c>
    </row>
    <row r="12" spans="1:6" ht="15.75" customHeight="1" x14ac:dyDescent="0.25">
      <c r="A12" s="26" t="s">
        <v>287</v>
      </c>
      <c r="B12" s="138" t="s">
        <v>187</v>
      </c>
      <c r="C12" s="225">
        <f>Assumptions!T17</f>
        <v>0.9</v>
      </c>
      <c r="D12" s="225">
        <f>Assumptions!U17</f>
        <v>0.75</v>
      </c>
      <c r="E12" s="225">
        <f>Assumptions!V17</f>
        <v>1.1000000000000001</v>
      </c>
      <c r="F12" s="225">
        <f t="shared" si="0"/>
        <v>-0.35000000000000009</v>
      </c>
    </row>
    <row r="13" spans="1:6" ht="15.75" customHeight="1" x14ac:dyDescent="0.25">
      <c r="A13" s="26" t="s">
        <v>288</v>
      </c>
      <c r="B13" s="138" t="s">
        <v>184</v>
      </c>
      <c r="C13" s="225">
        <f>Assumptions!T28</f>
        <v>0.05</v>
      </c>
      <c r="D13" s="225">
        <f>Assumptions!U28</f>
        <v>0.06</v>
      </c>
      <c r="E13" s="225">
        <f>Assumptions!V28</f>
        <v>0.04</v>
      </c>
      <c r="F13" s="225">
        <f t="shared" si="0"/>
        <v>1.9999999999999997E-2</v>
      </c>
    </row>
    <row r="15" spans="1:6" ht="15.75" customHeight="1" x14ac:dyDescent="0.25">
      <c r="A15" s="224" t="s">
        <v>289</v>
      </c>
      <c r="B15" s="224"/>
      <c r="C15" s="224"/>
      <c r="D15" s="224"/>
      <c r="E15" s="224"/>
      <c r="F15" s="224"/>
    </row>
    <row r="16" spans="1:6" ht="15.75" customHeight="1" x14ac:dyDescent="0.25">
      <c r="A16" s="26" t="s">
        <v>290</v>
      </c>
      <c r="B16" s="138" t="s">
        <v>8</v>
      </c>
      <c r="C16" s="225">
        <f>Scenarios!D14</f>
        <v>32235.800000000003</v>
      </c>
      <c r="D16" s="225">
        <f>Scenarios!D65</f>
        <v>34449.199999999997</v>
      </c>
      <c r="E16" s="225">
        <f>Scenarios!D116</f>
        <v>29713.32</v>
      </c>
      <c r="F16" s="225">
        <f t="shared" ref="F16:F19" si="1">D16-E16</f>
        <v>4735.8799999999974</v>
      </c>
    </row>
    <row r="17" spans="1:6" ht="15.75" customHeight="1" x14ac:dyDescent="0.25">
      <c r="A17" s="26" t="s">
        <v>291</v>
      </c>
      <c r="B17" s="138" t="s">
        <v>8</v>
      </c>
      <c r="C17" s="225">
        <f>Scenarios!H14</f>
        <v>111899.77717159998</v>
      </c>
      <c r="D17" s="225">
        <f>Scenarios!H65</f>
        <v>158585.80177079997</v>
      </c>
      <c r="E17" s="225">
        <f>Scenarios!H116</f>
        <v>76077.7475691</v>
      </c>
      <c r="F17" s="225">
        <f t="shared" si="1"/>
        <v>82508.054201699968</v>
      </c>
    </row>
    <row r="18" spans="1:6" ht="15.75" customHeight="1" x14ac:dyDescent="0.25">
      <c r="A18" s="26" t="s">
        <v>292</v>
      </c>
      <c r="B18" s="138" t="s">
        <v>8</v>
      </c>
      <c r="C18" s="225">
        <f>Scenarios!M14</f>
        <v>226238.24443465195</v>
      </c>
      <c r="D18" s="225">
        <f>Scenarios!M65</f>
        <v>413523.93154402816</v>
      </c>
      <c r="E18" s="225">
        <f>Scenarios!M116</f>
        <v>119326.63226923917</v>
      </c>
      <c r="F18" s="225">
        <f t="shared" si="1"/>
        <v>294197.29927478899</v>
      </c>
    </row>
    <row r="19" spans="1:6" ht="15.75" customHeight="1" x14ac:dyDescent="0.25">
      <c r="A19" s="26" t="s">
        <v>293</v>
      </c>
      <c r="B19" s="138" t="s">
        <v>184</v>
      </c>
      <c r="C19" s="225">
        <f>(Scenarios!M14/Scenarios!C14)^(1/10)-1</f>
        <v>0.27300208420798944</v>
      </c>
      <c r="D19" s="225">
        <f>(Scenarios!M65/Scenarios!C65)^(1/10)-1</f>
        <v>0.35214285410185742</v>
      </c>
      <c r="E19" s="225">
        <f>(Scenarios!M116/Scenarios!C116)^(1/10)-1</f>
        <v>0.19411526686145408</v>
      </c>
      <c r="F19" s="225">
        <f t="shared" si="1"/>
        <v>0.15802758724040333</v>
      </c>
    </row>
    <row r="21" spans="1:6" ht="15.75" customHeight="1" x14ac:dyDescent="0.25">
      <c r="A21" s="224" t="s">
        <v>294</v>
      </c>
      <c r="B21" s="224"/>
      <c r="C21" s="224"/>
      <c r="D21" s="224"/>
      <c r="E21" s="224"/>
      <c r="F21" s="224"/>
    </row>
    <row r="22" spans="1:6" ht="15.75" customHeight="1" x14ac:dyDescent="0.25">
      <c r="A22" s="26" t="s">
        <v>220</v>
      </c>
      <c r="B22" s="138" t="s">
        <v>184</v>
      </c>
      <c r="C22" s="225">
        <f>Scenarios!M24</f>
        <v>0.13366473924489033</v>
      </c>
      <c r="D22" s="225">
        <f>Scenarios!M75</f>
        <v>0.16223003061860095</v>
      </c>
      <c r="E22" s="225">
        <f>Scenarios!M126</f>
        <v>0.10399942708778731</v>
      </c>
      <c r="F22" s="225">
        <f t="shared" ref="F22:F25" si="2">D22-E22</f>
        <v>5.8230603530813635E-2</v>
      </c>
    </row>
    <row r="23" spans="1:6" ht="15.75" customHeight="1" x14ac:dyDescent="0.25">
      <c r="A23" s="26" t="s">
        <v>226</v>
      </c>
      <c r="B23" s="138" t="s">
        <v>184</v>
      </c>
      <c r="C23" s="225">
        <f>Scenarios!M30</f>
        <v>8.3664739244890318E-2</v>
      </c>
      <c r="D23" s="225">
        <f>Scenarios!M81</f>
        <v>0.11623003061860093</v>
      </c>
      <c r="E23" s="225">
        <f>Scenarios!M132</f>
        <v>4.5999427087787308E-2</v>
      </c>
      <c r="F23" s="225">
        <f t="shared" si="2"/>
        <v>7.0230603530813618E-2</v>
      </c>
    </row>
    <row r="24" spans="1:6" ht="15.75" customHeight="1" x14ac:dyDescent="0.25">
      <c r="A24" s="26" t="s">
        <v>233</v>
      </c>
      <c r="B24" s="138" t="s">
        <v>184</v>
      </c>
      <c r="C24" s="225">
        <f>Scenarios!M37</f>
        <v>5.814081186946813E-2</v>
      </c>
      <c r="D24" s="225">
        <f>Scenarios!M88</f>
        <v>8.5309832736036789E-2</v>
      </c>
      <c r="E24" s="225">
        <f>Scenarios!M139</f>
        <v>3.1138672727930174E-2</v>
      </c>
      <c r="F24" s="225">
        <f t="shared" si="2"/>
        <v>5.4171160008106616E-2</v>
      </c>
    </row>
    <row r="25" spans="1:6" ht="15.75" customHeight="1" x14ac:dyDescent="0.25">
      <c r="A25" s="26" t="s">
        <v>295</v>
      </c>
      <c r="B25" s="138" t="s">
        <v>8</v>
      </c>
      <c r="C25" s="225">
        <f>Scenarios!M36</f>
        <v>13153.675207353845</v>
      </c>
      <c r="D25" s="225">
        <f>Scenarios!M87</f>
        <v>35277.657432369371</v>
      </c>
      <c r="E25" s="225">
        <f>Scenarios!M138</f>
        <v>3715.6729499579105</v>
      </c>
      <c r="F25" s="225">
        <f t="shared" si="2"/>
        <v>31561.984482411463</v>
      </c>
    </row>
    <row r="27" spans="1:6" ht="15.75" customHeight="1" x14ac:dyDescent="0.25">
      <c r="A27" s="224" t="s">
        <v>296</v>
      </c>
      <c r="B27" s="224"/>
      <c r="C27" s="224"/>
      <c r="D27" s="224"/>
      <c r="E27" s="224"/>
      <c r="F27" s="224"/>
    </row>
    <row r="28" spans="1:6" ht="15.75" customHeight="1" x14ac:dyDescent="0.25">
      <c r="A28" s="26" t="s">
        <v>297</v>
      </c>
      <c r="B28" s="138" t="s">
        <v>8</v>
      </c>
      <c r="C28" s="225">
        <f>Scenarios!D43</f>
        <v>17973.636036331329</v>
      </c>
      <c r="D28" s="225">
        <f>Scenarios!D94</f>
        <v>58699.653697935457</v>
      </c>
      <c r="E28" s="225">
        <f>Scenarios!D145</f>
        <v>-644.45087758116654</v>
      </c>
      <c r="F28" s="225">
        <f t="shared" ref="F28:F33" si="3">D28-E28</f>
        <v>59344.104575516627</v>
      </c>
    </row>
    <row r="29" spans="1:6" ht="15.75" customHeight="1" x14ac:dyDescent="0.25">
      <c r="A29" s="26" t="s">
        <v>243</v>
      </c>
      <c r="B29" s="138" t="s">
        <v>8</v>
      </c>
      <c r="C29" s="225">
        <f>Scenarios!D46</f>
        <v>50629.148976212462</v>
      </c>
      <c r="D29" s="225">
        <f>Scenarios!D97</f>
        <v>199782.11238693408</v>
      </c>
      <c r="E29" s="225">
        <f>Scenarios!D148</f>
        <v>9749.7352357244417</v>
      </c>
      <c r="F29" s="225">
        <f t="shared" si="3"/>
        <v>190032.37715120963</v>
      </c>
    </row>
    <row r="30" spans="1:6" ht="15.75" customHeight="1" x14ac:dyDescent="0.25">
      <c r="A30" s="26" t="s">
        <v>244</v>
      </c>
      <c r="B30" s="138" t="s">
        <v>8</v>
      </c>
      <c r="C30" s="225">
        <f>Scenarios!D47</f>
        <v>68602.785012543784</v>
      </c>
      <c r="D30" s="225">
        <f>Scenarios!D98</f>
        <v>258481.76608486954</v>
      </c>
      <c r="E30" s="225">
        <f>Scenarios!D149</f>
        <v>9105.2843581432753</v>
      </c>
      <c r="F30" s="225">
        <f t="shared" si="3"/>
        <v>249376.48172672626</v>
      </c>
    </row>
    <row r="31" spans="1:6" ht="15.75" customHeight="1" x14ac:dyDescent="0.25">
      <c r="A31" s="26" t="s">
        <v>245</v>
      </c>
      <c r="B31" s="138" t="s">
        <v>8</v>
      </c>
      <c r="C31" s="225">
        <f>Scenarios!D48</f>
        <v>-2045</v>
      </c>
      <c r="D31" s="225">
        <f>Scenarios!D99</f>
        <v>-2045</v>
      </c>
      <c r="E31" s="225">
        <f>Scenarios!D150</f>
        <v>-2045</v>
      </c>
      <c r="F31" s="225">
        <f t="shared" si="3"/>
        <v>0</v>
      </c>
    </row>
    <row r="32" spans="1:6" ht="15.75" customHeight="1" x14ac:dyDescent="0.25">
      <c r="A32" s="26" t="s">
        <v>298</v>
      </c>
      <c r="B32" s="138" t="s">
        <v>8</v>
      </c>
      <c r="C32" s="225">
        <f>Scenarios!D49</f>
        <v>16806</v>
      </c>
      <c r="D32" s="225">
        <f>Scenarios!D100</f>
        <v>16806</v>
      </c>
      <c r="E32" s="225">
        <f>Scenarios!D151</f>
        <v>16806</v>
      </c>
      <c r="F32" s="225">
        <f t="shared" si="3"/>
        <v>0</v>
      </c>
    </row>
    <row r="33" spans="1:6" ht="15.75" customHeight="1" x14ac:dyDescent="0.25">
      <c r="A33" s="20" t="s">
        <v>247</v>
      </c>
      <c r="B33" s="139" t="s">
        <v>8</v>
      </c>
      <c r="C33" s="226">
        <f>Scenarios!D50</f>
        <v>83363.785012543784</v>
      </c>
      <c r="D33" s="226">
        <f>Scenarios!D101</f>
        <v>273242.76608486951</v>
      </c>
      <c r="E33" s="226">
        <f>Scenarios!D152</f>
        <v>23866.284358143275</v>
      </c>
      <c r="F33" s="226">
        <f t="shared" si="3"/>
        <v>249376.48172672623</v>
      </c>
    </row>
    <row r="35" spans="1:6" ht="15.75" customHeight="1" x14ac:dyDescent="0.25">
      <c r="A35" s="224" t="s">
        <v>299</v>
      </c>
      <c r="B35" s="224"/>
      <c r="C35" s="224"/>
      <c r="D35" s="224"/>
      <c r="E35" s="224"/>
      <c r="F35" s="224"/>
    </row>
    <row r="36" spans="1:6" ht="15.75" customHeight="1" x14ac:dyDescent="0.25">
      <c r="A36" s="26" t="s">
        <v>176</v>
      </c>
      <c r="B36" s="138" t="s">
        <v>177</v>
      </c>
      <c r="C36" s="225">
        <f>Scenarios!D51</f>
        <v>951.5</v>
      </c>
      <c r="D36" s="225">
        <f>Scenarios!D102</f>
        <v>951.5</v>
      </c>
      <c r="E36" s="225">
        <f>Scenarios!D153</f>
        <v>951.5</v>
      </c>
      <c r="F36" s="225">
        <f t="shared" ref="F36:F39" si="4">D36-E36</f>
        <v>0</v>
      </c>
    </row>
    <row r="37" spans="1:6" ht="15.75" customHeight="1" x14ac:dyDescent="0.25">
      <c r="A37" s="227" t="s">
        <v>248</v>
      </c>
      <c r="B37" s="228" t="s">
        <v>90</v>
      </c>
      <c r="C37" s="229">
        <f>Scenarios!D52</f>
        <v>87.613016303251484</v>
      </c>
      <c r="D37" s="229">
        <f>Scenarios!D103</f>
        <v>287.17053713596374</v>
      </c>
      <c r="E37" s="229">
        <f>Scenarios!D154</f>
        <v>25.082800166204176</v>
      </c>
      <c r="F37" s="229">
        <f t="shared" si="4"/>
        <v>262.08773696975959</v>
      </c>
    </row>
    <row r="38" spans="1:6" ht="15.75" customHeight="1" thickBot="1" x14ac:dyDescent="0.3">
      <c r="A38" s="26" t="s">
        <v>249</v>
      </c>
      <c r="B38" s="138" t="s">
        <v>90</v>
      </c>
      <c r="C38" s="225">
        <f>Scenarios!D53</f>
        <v>251</v>
      </c>
      <c r="D38" s="225">
        <f>Scenarios!D104</f>
        <v>251</v>
      </c>
      <c r="E38" s="225">
        <f>Scenarios!D155</f>
        <v>251</v>
      </c>
      <c r="F38" s="225">
        <f t="shared" si="4"/>
        <v>0</v>
      </c>
    </row>
    <row r="39" spans="1:6" ht="15.75" customHeight="1" thickBot="1" x14ac:dyDescent="0.3">
      <c r="A39" s="230" t="s">
        <v>250</v>
      </c>
      <c r="B39" s="231" t="s">
        <v>184</v>
      </c>
      <c r="C39" s="232">
        <f>Scenarios!D54</f>
        <v>-0.65094415815437656</v>
      </c>
      <c r="D39" s="232">
        <f>Scenarios!D105</f>
        <v>0.14410572564128987</v>
      </c>
      <c r="E39" s="232">
        <f>Scenarios!D156</f>
        <v>-0.9000685252342463</v>
      </c>
      <c r="F39" s="232">
        <f t="shared" si="4"/>
        <v>1.0441742508755363</v>
      </c>
    </row>
    <row r="41" spans="1:6" ht="20.100000000000001" customHeight="1" x14ac:dyDescent="0.25">
      <c r="A41" s="126" t="s">
        <v>300</v>
      </c>
      <c r="B41" s="126"/>
      <c r="C41" s="126"/>
      <c r="D41" s="126"/>
      <c r="E41" s="126"/>
      <c r="F41" s="126"/>
    </row>
    <row r="42" spans="1:6" ht="15.75" customHeight="1" x14ac:dyDescent="0.25">
      <c r="A42" s="146" t="s">
        <v>301</v>
      </c>
      <c r="B42" s="138" t="s">
        <v>8</v>
      </c>
      <c r="C42" s="233">
        <f>B45*Scenarios!D50+D45*Scenarios!D101+F45*Scenarios!D152</f>
        <v>134947.05322425766</v>
      </c>
    </row>
    <row r="43" spans="1:6" ht="15.75" customHeight="1" x14ac:dyDescent="0.25">
      <c r="A43" s="146" t="s">
        <v>302</v>
      </c>
      <c r="B43" s="138" t="s">
        <v>90</v>
      </c>
      <c r="C43" s="233">
        <f>C42/Assumptions!F8</f>
        <v>141.82559456043896</v>
      </c>
      <c r="D43" s="217" t="s">
        <v>303</v>
      </c>
      <c r="E43" s="145">
        <f>Assumptions!F7</f>
        <v>251</v>
      </c>
      <c r="F43" s="234">
        <f>C43/E43-1</f>
        <v>-0.4349577905958607</v>
      </c>
    </row>
    <row r="44" spans="1:6" ht="15.75" customHeight="1" x14ac:dyDescent="0.25">
      <c r="A44" s="23" t="s">
        <v>304</v>
      </c>
    </row>
    <row r="45" spans="1:6" ht="15.75" customHeight="1" x14ac:dyDescent="0.25">
      <c r="A45" s="235" t="s">
        <v>305</v>
      </c>
      <c r="B45" s="236">
        <v>0.4</v>
      </c>
      <c r="C45" s="217" t="s">
        <v>306</v>
      </c>
      <c r="D45" s="236">
        <v>0.35</v>
      </c>
      <c r="E45" s="217" t="s">
        <v>307</v>
      </c>
      <c r="F45" s="236">
        <v>0.25</v>
      </c>
    </row>
    <row r="46" spans="1:6" ht="15.75" customHeight="1" x14ac:dyDescent="0.25">
      <c r="A46" s="217" t="s">
        <v>308</v>
      </c>
      <c r="B46" s="145">
        <f>B45+D45+F45</f>
        <v>1</v>
      </c>
      <c r="C46" s="237" t="str">
        <f>IF(ABS(B46-1)&lt;0.001,"OK","Check weights")</f>
        <v>OK</v>
      </c>
    </row>
    <row r="48" spans="1:6" ht="20.100000000000001" customHeight="1" x14ac:dyDescent="0.25">
      <c r="A48" s="128" t="s">
        <v>309</v>
      </c>
      <c r="B48" s="128"/>
      <c r="C48" s="128"/>
      <c r="D48" s="128"/>
      <c r="E48" s="128"/>
      <c r="F48" s="128"/>
    </row>
    <row r="49" spans="1:6" ht="15.75" customHeight="1" x14ac:dyDescent="0.25">
      <c r="A49" s="238" t="s">
        <v>310</v>
      </c>
      <c r="B49" s="238"/>
      <c r="C49" s="238"/>
      <c r="D49" s="238"/>
      <c r="E49" s="238"/>
      <c r="F49" s="238"/>
    </row>
    <row r="50" spans="1:6" ht="15.75" customHeight="1" x14ac:dyDescent="0.25">
      <c r="A50" s="238" t="s">
        <v>311</v>
      </c>
      <c r="B50" s="238"/>
      <c r="C50" s="238"/>
      <c r="D50" s="238"/>
      <c r="E50" s="238"/>
      <c r="F50" s="238"/>
    </row>
    <row r="51" spans="1:6" ht="15.75" customHeight="1" x14ac:dyDescent="0.25">
      <c r="A51" s="238" t="s">
        <v>312</v>
      </c>
      <c r="B51" s="238"/>
      <c r="C51" s="238"/>
      <c r="D51" s="238"/>
      <c r="E51" s="238"/>
      <c r="F51" s="238"/>
    </row>
    <row r="52" spans="1:6" ht="15.75" customHeight="1" x14ac:dyDescent="0.25">
      <c r="A52" s="238" t="s">
        <v>313</v>
      </c>
      <c r="B52" s="238"/>
      <c r="C52" s="238"/>
      <c r="D52" s="238"/>
      <c r="E52" s="238"/>
      <c r="F52" s="2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3972-842C-4429-80E6-B9DD20148F23}">
  <sheetPr>
    <tabColor rgb="FFFF0000"/>
  </sheetPr>
  <dimension ref="A1:V123"/>
  <sheetViews>
    <sheetView showGridLines="0" zoomScale="74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I54" sqref="I54"/>
    </sheetView>
  </sheetViews>
  <sheetFormatPr defaultRowHeight="15.75" customHeight="1" x14ac:dyDescent="0.25"/>
  <cols>
    <col min="1" max="1" width="53.88671875" style="19" customWidth="1"/>
    <col min="2" max="2" width="4.33203125" style="19" bestFit="1" customWidth="1"/>
    <col min="3" max="5" width="6.109375" style="19" bestFit="1" customWidth="1"/>
    <col min="6" max="6" width="11.109375" style="19" customWidth="1"/>
    <col min="7" max="16" width="10.21875" style="19" customWidth="1"/>
    <col min="17" max="17" width="13" style="19" customWidth="1"/>
    <col min="18" max="18" width="2.33203125" style="19" customWidth="1"/>
    <col min="19" max="19" width="22.21875" style="19" bestFit="1" customWidth="1"/>
    <col min="20" max="20" width="16.6640625" style="19" customWidth="1"/>
    <col min="21" max="21" width="9.5546875" style="19" bestFit="1" customWidth="1"/>
    <col min="22" max="22" width="10.44140625" style="19" customWidth="1"/>
    <col min="23" max="16384" width="8.88671875" style="19"/>
  </cols>
  <sheetData>
    <row r="1" spans="1:22" ht="27" customHeight="1" x14ac:dyDescent="0.25">
      <c r="A1" s="125" t="s">
        <v>155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1:22" ht="15.75" customHeight="1" x14ac:dyDescent="0.25">
      <c r="A2" s="23" t="s">
        <v>156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S2" s="129" t="str">
        <f>T7</f>
        <v>Optimistic Case</v>
      </c>
    </row>
    <row r="4" spans="1:22" x14ac:dyDescent="0.25">
      <c r="A4" s="128" t="s">
        <v>0</v>
      </c>
      <c r="B4" s="129" t="s">
        <v>157</v>
      </c>
      <c r="C4" s="129" t="s">
        <v>158</v>
      </c>
      <c r="D4" s="129" t="s">
        <v>159</v>
      </c>
      <c r="E4" s="129" t="s">
        <v>160</v>
      </c>
      <c r="F4" s="129" t="s">
        <v>161</v>
      </c>
      <c r="G4" s="129" t="s">
        <v>162</v>
      </c>
      <c r="H4" s="129" t="s">
        <v>163</v>
      </c>
      <c r="I4" s="129" t="s">
        <v>164</v>
      </c>
      <c r="J4" s="129" t="s">
        <v>165</v>
      </c>
      <c r="K4" s="129" t="s">
        <v>166</v>
      </c>
      <c r="L4" s="129" t="s">
        <v>167</v>
      </c>
      <c r="M4" s="129" t="s">
        <v>168</v>
      </c>
      <c r="N4" s="129" t="s">
        <v>169</v>
      </c>
      <c r="O4" s="129" t="s">
        <v>170</v>
      </c>
      <c r="P4" s="129" t="s">
        <v>171</v>
      </c>
      <c r="Q4" s="129" t="s">
        <v>172</v>
      </c>
      <c r="S4" s="129" t="s">
        <v>261</v>
      </c>
    </row>
    <row r="5" spans="1:22" ht="15.75" customHeight="1" x14ac:dyDescent="0.25">
      <c r="A5" s="126" t="s">
        <v>173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22" ht="15.75" customHeight="1" x14ac:dyDescent="0.25">
      <c r="A6" s="19" t="s">
        <v>174</v>
      </c>
      <c r="F6" s="239">
        <v>46147</v>
      </c>
      <c r="S6" s="298" t="s">
        <v>262</v>
      </c>
      <c r="T6" s="299">
        <v>2</v>
      </c>
    </row>
    <row r="7" spans="1:22" ht="15.75" customHeight="1" x14ac:dyDescent="0.25">
      <c r="A7" s="26" t="s">
        <v>175</v>
      </c>
      <c r="B7" s="19" t="s">
        <v>90</v>
      </c>
      <c r="F7" s="240">
        <v>251</v>
      </c>
      <c r="S7" s="241" t="s">
        <v>263</v>
      </c>
      <c r="T7" s="234" t="str">
        <f>CHOOSE(T6,"Base Case","Optimistic Case","Pessimistic Case")</f>
        <v>Optimistic Case</v>
      </c>
    </row>
    <row r="8" spans="1:22" ht="15.75" customHeight="1" x14ac:dyDescent="0.25">
      <c r="A8" s="26" t="s">
        <v>176</v>
      </c>
      <c r="B8" s="19" t="s">
        <v>177</v>
      </c>
      <c r="F8" s="242">
        <v>951.5</v>
      </c>
      <c r="S8" s="243"/>
      <c r="T8" s="243"/>
      <c r="U8" s="243"/>
      <c r="V8" s="243"/>
    </row>
    <row r="9" spans="1:22" ht="15.75" customHeight="1" x14ac:dyDescent="0.25">
      <c r="A9" s="26" t="s">
        <v>178</v>
      </c>
      <c r="B9" s="19" t="s">
        <v>8</v>
      </c>
      <c r="F9" s="19">
        <f>F7*F8</f>
        <v>238826.5</v>
      </c>
    </row>
    <row r="10" spans="1:22" ht="15.75" customHeight="1" x14ac:dyDescent="0.25">
      <c r="A10" s="26" t="s">
        <v>179</v>
      </c>
      <c r="B10" s="19" t="s">
        <v>8</v>
      </c>
      <c r="F10" s="19">
        <f>'Balance Sheet'!F39+'Balance Sheet'!F47+'Balance Sheet'!F38+'Balance Sheet'!F46</f>
        <v>2045</v>
      </c>
    </row>
    <row r="11" spans="1:22" ht="15.75" customHeight="1" x14ac:dyDescent="0.25">
      <c r="A11" s="26" t="s">
        <v>180</v>
      </c>
      <c r="B11" s="19" t="s">
        <v>8</v>
      </c>
      <c r="F11" s="19">
        <f>'Balance Sheet'!F13+'Balance Sheet'!F20+'Balance Sheet'!F22+'Balance Sheet'!F23</f>
        <v>16806</v>
      </c>
    </row>
    <row r="12" spans="1:22" ht="15.75" customHeight="1" x14ac:dyDescent="0.25">
      <c r="A12" s="20" t="s">
        <v>181</v>
      </c>
      <c r="B12" s="20" t="s">
        <v>8</v>
      </c>
      <c r="C12" s="20"/>
      <c r="D12" s="20"/>
      <c r="E12" s="20"/>
      <c r="F12" s="20">
        <f>F9+F10</f>
        <v>240871.5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4" spans="1:22" ht="15.75" customHeight="1" x14ac:dyDescent="0.25">
      <c r="A14" s="126" t="s">
        <v>182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</row>
    <row r="15" spans="1:22" ht="15.75" customHeight="1" x14ac:dyDescent="0.25">
      <c r="A15" s="26" t="s">
        <v>183</v>
      </c>
      <c r="B15" s="19" t="s">
        <v>184</v>
      </c>
      <c r="F15" s="240">
        <v>7.0000000000000007E-2</v>
      </c>
    </row>
    <row r="16" spans="1:22" ht="15.75" customHeight="1" x14ac:dyDescent="0.25">
      <c r="A16" s="26" t="s">
        <v>185</v>
      </c>
      <c r="B16" s="19" t="s">
        <v>184</v>
      </c>
      <c r="F16" s="240">
        <v>6.7500000000000004E-2</v>
      </c>
    </row>
    <row r="17" spans="1:22" ht="15.75" customHeight="1" x14ac:dyDescent="0.25">
      <c r="A17" s="26" t="s">
        <v>186</v>
      </c>
      <c r="B17" s="19" t="s">
        <v>187</v>
      </c>
      <c r="F17" s="244">
        <f>CHOOSE($T$6,T17,U17,V17)</f>
        <v>0.75</v>
      </c>
      <c r="S17" s="241" t="s">
        <v>267</v>
      </c>
      <c r="T17" s="245">
        <v>0.9</v>
      </c>
      <c r="U17" s="246">
        <v>0.75</v>
      </c>
      <c r="V17" s="247">
        <v>1.1000000000000001</v>
      </c>
    </row>
    <row r="18" spans="1:22" ht="15.75" customHeight="1" x14ac:dyDescent="0.25">
      <c r="A18" s="26" t="s">
        <v>188</v>
      </c>
      <c r="B18" s="19" t="s">
        <v>184</v>
      </c>
      <c r="F18" s="19">
        <f>F15+F17*F16</f>
        <v>0.12062500000000001</v>
      </c>
      <c r="S18" s="241" t="s">
        <v>274</v>
      </c>
      <c r="T18" s="248">
        <f t="shared" ref="T18:V18" si="0">$F$15+T17*$F$16</f>
        <v>0.13075000000000001</v>
      </c>
      <c r="U18" s="248">
        <f t="shared" si="0"/>
        <v>0.12062500000000001</v>
      </c>
      <c r="V18" s="248">
        <f t="shared" si="0"/>
        <v>0.14425000000000002</v>
      </c>
    </row>
    <row r="19" spans="1:22" ht="15.75" customHeight="1" x14ac:dyDescent="0.25">
      <c r="A19" s="26" t="s">
        <v>189</v>
      </c>
      <c r="B19" s="19" t="s">
        <v>184</v>
      </c>
      <c r="F19" s="240">
        <v>0.09</v>
      </c>
    </row>
    <row r="20" spans="1:22" ht="15.75" customHeight="1" x14ac:dyDescent="0.25">
      <c r="A20" s="26" t="s">
        <v>190</v>
      </c>
      <c r="B20" s="19" t="s">
        <v>184</v>
      </c>
      <c r="F20" s="242">
        <v>0.25169999999999998</v>
      </c>
    </row>
    <row r="21" spans="1:22" ht="15.75" customHeight="1" x14ac:dyDescent="0.25">
      <c r="A21" s="26" t="s">
        <v>191</v>
      </c>
      <c r="B21" s="19" t="s">
        <v>184</v>
      </c>
      <c r="F21" s="19">
        <f>F19*(1-F20)</f>
        <v>6.734699999999999E-2</v>
      </c>
    </row>
    <row r="22" spans="1:22" ht="15.75" customHeight="1" x14ac:dyDescent="0.25">
      <c r="A22" s="26" t="s">
        <v>192</v>
      </c>
      <c r="B22" s="19" t="s">
        <v>184</v>
      </c>
      <c r="F22" s="19">
        <f>F9/F12</f>
        <v>0.99150999599371448</v>
      </c>
    </row>
    <row r="23" spans="1:22" ht="15.75" customHeight="1" thickBot="1" x14ac:dyDescent="0.3">
      <c r="A23" s="26" t="s">
        <v>193</v>
      </c>
      <c r="B23" s="19" t="s">
        <v>184</v>
      </c>
      <c r="F23" s="19">
        <f>F10/F12</f>
        <v>8.4900040062855092E-3</v>
      </c>
    </row>
    <row r="24" spans="1:22" ht="15.75" customHeight="1" x14ac:dyDescent="0.25">
      <c r="A24" s="127" t="s">
        <v>194</v>
      </c>
      <c r="B24" s="127" t="s">
        <v>184</v>
      </c>
      <c r="C24" s="127"/>
      <c r="D24" s="127"/>
      <c r="E24" s="127"/>
      <c r="F24" s="127">
        <f>F22*F18+F23*F21</f>
        <v>0.12017266956655313</v>
      </c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S24" s="229" t="s">
        <v>275</v>
      </c>
      <c r="T24" s="234">
        <f t="shared" ref="T24:V24" si="1">$F$22*T18+$F$23*$F$21</f>
        <v>0.13021170827598949</v>
      </c>
      <c r="U24" s="234">
        <f t="shared" si="1"/>
        <v>0.12017266956655313</v>
      </c>
      <c r="V24" s="234">
        <f t="shared" si="1"/>
        <v>0.14359709322190464</v>
      </c>
    </row>
    <row r="26" spans="1:22" ht="15.75" customHeight="1" x14ac:dyDescent="0.25">
      <c r="A26" s="126" t="s">
        <v>195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22" ht="15.75" customHeight="1" x14ac:dyDescent="0.25">
      <c r="A27" s="26" t="s">
        <v>196</v>
      </c>
      <c r="B27" s="19" t="s">
        <v>197</v>
      </c>
      <c r="F27" s="240">
        <v>10</v>
      </c>
    </row>
    <row r="28" spans="1:22" ht="15.75" customHeight="1" x14ac:dyDescent="0.25">
      <c r="A28" s="26" t="s">
        <v>198</v>
      </c>
      <c r="B28" s="19" t="s">
        <v>184</v>
      </c>
      <c r="F28" s="249">
        <f>CHOOSE($T$6,T28,U28,V28)</f>
        <v>0.06</v>
      </c>
      <c r="S28" s="241" t="s">
        <v>268</v>
      </c>
      <c r="T28" s="245">
        <v>0.05</v>
      </c>
      <c r="U28" s="246">
        <v>0.06</v>
      </c>
      <c r="V28" s="247">
        <v>0.04</v>
      </c>
    </row>
    <row r="29" spans="1:22" ht="15.75" customHeight="1" x14ac:dyDescent="0.25">
      <c r="A29" s="26" t="s">
        <v>199</v>
      </c>
      <c r="B29" s="19" t="s">
        <v>184</v>
      </c>
      <c r="F29" s="242">
        <v>0.25169999999999998</v>
      </c>
    </row>
    <row r="31" spans="1:22" ht="15.75" customHeight="1" x14ac:dyDescent="0.25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</row>
    <row r="32" spans="1:22" ht="15.75" customHeight="1" x14ac:dyDescent="0.25">
      <c r="A32" s="26" t="s">
        <v>200</v>
      </c>
      <c r="B32" s="19" t="s">
        <v>184</v>
      </c>
      <c r="G32" s="250">
        <f t="shared" ref="G32:Q32" si="2">CHOOSE($T$6,G56,G57,G58)</f>
        <v>0.3</v>
      </c>
      <c r="H32" s="251">
        <f t="shared" si="2"/>
        <v>0.27</v>
      </c>
      <c r="I32" s="251">
        <f t="shared" si="2"/>
        <v>0.24</v>
      </c>
      <c r="J32" s="251">
        <f t="shared" si="2"/>
        <v>0.22</v>
      </c>
      <c r="K32" s="251">
        <f t="shared" si="2"/>
        <v>0.2</v>
      </c>
      <c r="L32" s="251">
        <f t="shared" si="2"/>
        <v>0.18</v>
      </c>
      <c r="M32" s="251">
        <f t="shared" si="2"/>
        <v>0.16</v>
      </c>
      <c r="N32" s="251">
        <f t="shared" si="2"/>
        <v>0.14000000000000001</v>
      </c>
      <c r="O32" s="251">
        <f t="shared" si="2"/>
        <v>0.12</v>
      </c>
      <c r="P32" s="251">
        <f t="shared" si="2"/>
        <v>0.1</v>
      </c>
      <c r="Q32" s="252">
        <f t="shared" si="2"/>
        <v>0.06</v>
      </c>
    </row>
    <row r="33" spans="1:17" ht="15.75" customHeight="1" x14ac:dyDescent="0.25">
      <c r="A33" s="26" t="s">
        <v>201</v>
      </c>
      <c r="B33" s="19" t="s">
        <v>184</v>
      </c>
      <c r="G33" s="250">
        <f t="shared" ref="G33:Q33" si="3">CHOOSE($T$6,G59,G60,G61)</f>
        <v>0.75</v>
      </c>
      <c r="H33" s="251">
        <f t="shared" si="3"/>
        <v>0.6</v>
      </c>
      <c r="I33" s="251">
        <f t="shared" si="3"/>
        <v>0.48</v>
      </c>
      <c r="J33" s="251">
        <f t="shared" si="3"/>
        <v>0.4</v>
      </c>
      <c r="K33" s="251">
        <f t="shared" si="3"/>
        <v>0.35</v>
      </c>
      <c r="L33" s="251">
        <f t="shared" si="3"/>
        <v>0.3</v>
      </c>
      <c r="M33" s="251">
        <f t="shared" si="3"/>
        <v>0.25</v>
      </c>
      <c r="N33" s="251">
        <f t="shared" si="3"/>
        <v>0.22</v>
      </c>
      <c r="O33" s="251">
        <f t="shared" si="3"/>
        <v>0.18</v>
      </c>
      <c r="P33" s="251">
        <f t="shared" si="3"/>
        <v>0.15</v>
      </c>
      <c r="Q33" s="252">
        <f t="shared" si="3"/>
        <v>0.06</v>
      </c>
    </row>
    <row r="34" spans="1:17" ht="15.75" customHeight="1" x14ac:dyDescent="0.25">
      <c r="A34" s="26" t="s">
        <v>202</v>
      </c>
      <c r="B34" s="19" t="s">
        <v>184</v>
      </c>
      <c r="G34" s="250">
        <f t="shared" ref="G34:Q34" si="4">CHOOSE($T$6,G62,G63,G64)</f>
        <v>1.2</v>
      </c>
      <c r="H34" s="251">
        <f t="shared" si="4"/>
        <v>0.9</v>
      </c>
      <c r="I34" s="251">
        <f t="shared" si="4"/>
        <v>0.65</v>
      </c>
      <c r="J34" s="251">
        <f t="shared" si="4"/>
        <v>0.5</v>
      </c>
      <c r="K34" s="251">
        <f t="shared" si="4"/>
        <v>0.4</v>
      </c>
      <c r="L34" s="251">
        <f t="shared" si="4"/>
        <v>0.35</v>
      </c>
      <c r="M34" s="251">
        <f t="shared" si="4"/>
        <v>0.28000000000000003</v>
      </c>
      <c r="N34" s="251">
        <f t="shared" si="4"/>
        <v>0.22</v>
      </c>
      <c r="O34" s="251">
        <f t="shared" si="4"/>
        <v>0.18</v>
      </c>
      <c r="P34" s="251">
        <f t="shared" si="4"/>
        <v>0.13</v>
      </c>
      <c r="Q34" s="252">
        <f t="shared" si="4"/>
        <v>0.06</v>
      </c>
    </row>
    <row r="35" spans="1:17" ht="15.75" customHeight="1" x14ac:dyDescent="0.25">
      <c r="A35" s="26" t="s">
        <v>203</v>
      </c>
      <c r="B35" s="19" t="s">
        <v>184</v>
      </c>
      <c r="G35" s="250">
        <f t="shared" ref="G35:Q35" si="5">CHOOSE($T$6,G65,G66,G67)</f>
        <v>1.2</v>
      </c>
      <c r="H35" s="251">
        <f t="shared" si="5"/>
        <v>0.85</v>
      </c>
      <c r="I35" s="251">
        <f t="shared" si="5"/>
        <v>0.65</v>
      </c>
      <c r="J35" s="251">
        <f t="shared" si="5"/>
        <v>0.5</v>
      </c>
      <c r="K35" s="251">
        <f t="shared" si="5"/>
        <v>0.4</v>
      </c>
      <c r="L35" s="251">
        <f t="shared" si="5"/>
        <v>0.3</v>
      </c>
      <c r="M35" s="251">
        <f t="shared" si="5"/>
        <v>0.22</v>
      </c>
      <c r="N35" s="251">
        <f t="shared" si="5"/>
        <v>0.18</v>
      </c>
      <c r="O35" s="251">
        <f t="shared" si="5"/>
        <v>0.14000000000000001</v>
      </c>
      <c r="P35" s="251">
        <f t="shared" si="5"/>
        <v>0.1</v>
      </c>
      <c r="Q35" s="252">
        <f t="shared" si="5"/>
        <v>0.06</v>
      </c>
    </row>
    <row r="36" spans="1:17" ht="15.75" customHeight="1" x14ac:dyDescent="0.25">
      <c r="A36" s="26" t="s">
        <v>204</v>
      </c>
      <c r="B36" s="19" t="s">
        <v>184</v>
      </c>
      <c r="G36" s="253">
        <f t="shared" ref="G36:Q36" si="6">CHOOSE($T$6,G68,G69,G70)</f>
        <v>0.15</v>
      </c>
      <c r="H36" s="254">
        <f t="shared" si="6"/>
        <v>0.15</v>
      </c>
      <c r="I36" s="254">
        <f t="shared" si="6"/>
        <v>0.15</v>
      </c>
      <c r="J36" s="254">
        <f t="shared" si="6"/>
        <v>0.12</v>
      </c>
      <c r="K36" s="254">
        <f t="shared" si="6"/>
        <v>0.1</v>
      </c>
      <c r="L36" s="254">
        <f t="shared" si="6"/>
        <v>0.08</v>
      </c>
      <c r="M36" s="254">
        <f t="shared" si="6"/>
        <v>0.08</v>
      </c>
      <c r="N36" s="254">
        <f t="shared" si="6"/>
        <v>0.08</v>
      </c>
      <c r="O36" s="254">
        <f t="shared" si="6"/>
        <v>0.08</v>
      </c>
      <c r="P36" s="254">
        <f t="shared" si="6"/>
        <v>0.08</v>
      </c>
      <c r="Q36" s="255">
        <f t="shared" si="6"/>
        <v>0.06</v>
      </c>
    </row>
    <row r="38" spans="1:17" ht="15.75" customHeight="1" x14ac:dyDescent="0.25">
      <c r="A38" s="126" t="s">
        <v>205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</row>
    <row r="39" spans="1:17" ht="15.75" customHeight="1" x14ac:dyDescent="0.25">
      <c r="A39" s="26" t="s">
        <v>200</v>
      </c>
      <c r="B39" s="19" t="s">
        <v>184</v>
      </c>
      <c r="G39" s="250">
        <f t="shared" ref="G39:Q39" si="7">CHOOSE($T$6,G73,G74,G75)</f>
        <v>0.23</v>
      </c>
      <c r="H39" s="251">
        <f t="shared" si="7"/>
        <v>0.24</v>
      </c>
      <c r="I39" s="251">
        <f t="shared" si="7"/>
        <v>0.25</v>
      </c>
      <c r="J39" s="251">
        <f t="shared" si="7"/>
        <v>0.26</v>
      </c>
      <c r="K39" s="251">
        <f t="shared" si="7"/>
        <v>0.27</v>
      </c>
      <c r="L39" s="251">
        <f t="shared" si="7"/>
        <v>0.28000000000000003</v>
      </c>
      <c r="M39" s="251">
        <f t="shared" si="7"/>
        <v>0.28000000000000003</v>
      </c>
      <c r="N39" s="251">
        <f t="shared" si="7"/>
        <v>0.28000000000000003</v>
      </c>
      <c r="O39" s="251">
        <f t="shared" si="7"/>
        <v>0.28000000000000003</v>
      </c>
      <c r="P39" s="251">
        <f t="shared" si="7"/>
        <v>0.28000000000000003</v>
      </c>
      <c r="Q39" s="252">
        <f t="shared" si="7"/>
        <v>0.28000000000000003</v>
      </c>
    </row>
    <row r="40" spans="1:17" ht="15.75" customHeight="1" x14ac:dyDescent="0.25">
      <c r="A40" s="26" t="s">
        <v>201</v>
      </c>
      <c r="B40" s="19" t="s">
        <v>184</v>
      </c>
      <c r="G40" s="250">
        <f t="shared" ref="G40:Q40" si="8">CHOOSE($T$6,G76,G77,G78)</f>
        <v>0.02</v>
      </c>
      <c r="H40" s="251">
        <f t="shared" si="8"/>
        <v>0.03</v>
      </c>
      <c r="I40" s="251">
        <f t="shared" si="8"/>
        <v>0.04</v>
      </c>
      <c r="J40" s="251">
        <f t="shared" si="8"/>
        <v>0.05</v>
      </c>
      <c r="K40" s="251">
        <f t="shared" si="8"/>
        <v>0.06</v>
      </c>
      <c r="L40" s="251">
        <f t="shared" si="8"/>
        <v>7.0000000000000007E-2</v>
      </c>
      <c r="M40" s="251">
        <f t="shared" si="8"/>
        <v>7.0000000000000007E-2</v>
      </c>
      <c r="N40" s="251">
        <f t="shared" si="8"/>
        <v>7.0000000000000007E-2</v>
      </c>
      <c r="O40" s="251">
        <f t="shared" si="8"/>
        <v>7.0000000000000007E-2</v>
      </c>
      <c r="P40" s="251">
        <f t="shared" si="8"/>
        <v>7.0000000000000007E-2</v>
      </c>
      <c r="Q40" s="252">
        <f t="shared" si="8"/>
        <v>7.0000000000000007E-2</v>
      </c>
    </row>
    <row r="41" spans="1:17" ht="15.75" customHeight="1" x14ac:dyDescent="0.25">
      <c r="A41" s="26" t="s">
        <v>202</v>
      </c>
      <c r="B41" s="19" t="s">
        <v>184</v>
      </c>
      <c r="G41" s="250">
        <f t="shared" ref="G41:Q41" si="9">CHOOSE($T$6,G79,G80,G81)</f>
        <v>0.03</v>
      </c>
      <c r="H41" s="251">
        <f t="shared" si="9"/>
        <v>7.0000000000000007E-2</v>
      </c>
      <c r="I41" s="251">
        <f t="shared" si="9"/>
        <v>0.11</v>
      </c>
      <c r="J41" s="251">
        <f t="shared" si="9"/>
        <v>0.14000000000000001</v>
      </c>
      <c r="K41" s="251">
        <f t="shared" si="9"/>
        <v>0.16</v>
      </c>
      <c r="L41" s="251">
        <f t="shared" si="9"/>
        <v>0.17</v>
      </c>
      <c r="M41" s="251">
        <f t="shared" si="9"/>
        <v>0.18</v>
      </c>
      <c r="N41" s="251">
        <f t="shared" si="9"/>
        <v>0.19</v>
      </c>
      <c r="O41" s="251">
        <f t="shared" si="9"/>
        <v>0.19</v>
      </c>
      <c r="P41" s="251">
        <f t="shared" si="9"/>
        <v>0.19</v>
      </c>
      <c r="Q41" s="252">
        <f t="shared" si="9"/>
        <v>0.19</v>
      </c>
    </row>
    <row r="42" spans="1:17" ht="15.75" customHeight="1" x14ac:dyDescent="0.25">
      <c r="A42" s="26" t="s">
        <v>203</v>
      </c>
      <c r="B42" s="19" t="s">
        <v>184</v>
      </c>
      <c r="G42" s="250">
        <f t="shared" ref="G42:Q42" si="10">CHOOSE($T$6,G82,G83,G84)</f>
        <v>-0.03</v>
      </c>
      <c r="H42" s="251">
        <f t="shared" si="10"/>
        <v>0</v>
      </c>
      <c r="I42" s="251">
        <f t="shared" si="10"/>
        <v>0.04</v>
      </c>
      <c r="J42" s="251">
        <f t="shared" si="10"/>
        <v>0.08</v>
      </c>
      <c r="K42" s="251">
        <f t="shared" si="10"/>
        <v>0.12</v>
      </c>
      <c r="L42" s="251">
        <f t="shared" si="10"/>
        <v>0.15</v>
      </c>
      <c r="M42" s="251">
        <f t="shared" si="10"/>
        <v>0.17</v>
      </c>
      <c r="N42" s="251">
        <f t="shared" si="10"/>
        <v>0.18</v>
      </c>
      <c r="O42" s="251">
        <f t="shared" si="10"/>
        <v>0.19</v>
      </c>
      <c r="P42" s="251">
        <f t="shared" si="10"/>
        <v>0.19</v>
      </c>
      <c r="Q42" s="252">
        <f t="shared" si="10"/>
        <v>0.19</v>
      </c>
    </row>
    <row r="43" spans="1:17" ht="15.75" customHeight="1" x14ac:dyDescent="0.25">
      <c r="A43" s="26" t="s">
        <v>204</v>
      </c>
      <c r="B43" s="19" t="s">
        <v>184</v>
      </c>
      <c r="G43" s="253">
        <f t="shared" ref="G43:Q43" si="11">CHOOSE($T$6,G85,G86,G87)</f>
        <v>-0.2</v>
      </c>
      <c r="H43" s="254">
        <f t="shared" si="11"/>
        <v>-0.1</v>
      </c>
      <c r="I43" s="254">
        <f t="shared" si="11"/>
        <v>0</v>
      </c>
      <c r="J43" s="254">
        <f t="shared" si="11"/>
        <v>0.05</v>
      </c>
      <c r="K43" s="254">
        <f t="shared" si="11"/>
        <v>0.08</v>
      </c>
      <c r="L43" s="254">
        <f t="shared" si="11"/>
        <v>0.08</v>
      </c>
      <c r="M43" s="254">
        <f t="shared" si="11"/>
        <v>0.08</v>
      </c>
      <c r="N43" s="254">
        <f t="shared" si="11"/>
        <v>0.08</v>
      </c>
      <c r="O43" s="254">
        <f t="shared" si="11"/>
        <v>0.08</v>
      </c>
      <c r="P43" s="254">
        <f t="shared" si="11"/>
        <v>0.08</v>
      </c>
      <c r="Q43" s="255">
        <f t="shared" si="11"/>
        <v>0.08</v>
      </c>
    </row>
    <row r="45" spans="1:17" ht="15.75" customHeight="1" x14ac:dyDescent="0.25">
      <c r="A45" s="126" t="s">
        <v>206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</row>
    <row r="46" spans="1:17" ht="15.75" customHeight="1" x14ac:dyDescent="0.25">
      <c r="A46" s="26" t="s">
        <v>207</v>
      </c>
      <c r="B46" s="19" t="s">
        <v>184</v>
      </c>
      <c r="G46" s="250">
        <f t="shared" ref="G46:Q46" si="12">CHOOSE($T$6,G90,G91,G92)</f>
        <v>0.03</v>
      </c>
      <c r="H46" s="251">
        <f t="shared" si="12"/>
        <v>2.5000000000000001E-2</v>
      </c>
      <c r="I46" s="251">
        <f t="shared" si="12"/>
        <v>2.1999999999999999E-2</v>
      </c>
      <c r="J46" s="251">
        <f t="shared" si="12"/>
        <v>0.02</v>
      </c>
      <c r="K46" s="251">
        <f t="shared" si="12"/>
        <v>1.7999999999999999E-2</v>
      </c>
      <c r="L46" s="251">
        <f t="shared" si="12"/>
        <v>1.4999999999999999E-2</v>
      </c>
      <c r="M46" s="251">
        <f t="shared" si="12"/>
        <v>1.4999999999999999E-2</v>
      </c>
      <c r="N46" s="251">
        <f t="shared" si="12"/>
        <v>1.4999999999999999E-2</v>
      </c>
      <c r="O46" s="251">
        <f t="shared" si="12"/>
        <v>1.2999999999999999E-2</v>
      </c>
      <c r="P46" s="251">
        <f t="shared" si="12"/>
        <v>1.2999999999999999E-2</v>
      </c>
      <c r="Q46" s="252">
        <f t="shared" si="12"/>
        <v>1.2999999999999999E-2</v>
      </c>
    </row>
    <row r="47" spans="1:17" ht="15.75" customHeight="1" x14ac:dyDescent="0.25">
      <c r="A47" s="26" t="s">
        <v>208</v>
      </c>
      <c r="B47" s="19" t="s">
        <v>184</v>
      </c>
      <c r="G47" s="250">
        <f t="shared" ref="G47:Q47" si="13">CHOOSE($T$6,G93,G94,G95)</f>
        <v>0.04</v>
      </c>
      <c r="H47" s="251">
        <f t="shared" si="13"/>
        <v>3.7999999999999999E-2</v>
      </c>
      <c r="I47" s="251">
        <f t="shared" si="13"/>
        <v>3.5999999999999997E-2</v>
      </c>
      <c r="J47" s="251">
        <f t="shared" si="13"/>
        <v>3.5000000000000003E-2</v>
      </c>
      <c r="K47" s="251">
        <f t="shared" si="13"/>
        <v>3.4000000000000002E-2</v>
      </c>
      <c r="L47" s="251">
        <f t="shared" si="13"/>
        <v>3.3000000000000002E-2</v>
      </c>
      <c r="M47" s="251">
        <f t="shared" si="13"/>
        <v>3.3000000000000002E-2</v>
      </c>
      <c r="N47" s="251">
        <f t="shared" si="13"/>
        <v>3.3000000000000002E-2</v>
      </c>
      <c r="O47" s="251">
        <f t="shared" si="13"/>
        <v>3.3000000000000002E-2</v>
      </c>
      <c r="P47" s="251">
        <f t="shared" si="13"/>
        <v>3.3000000000000002E-2</v>
      </c>
      <c r="Q47" s="252">
        <f t="shared" si="13"/>
        <v>3.3000000000000002E-2</v>
      </c>
    </row>
    <row r="48" spans="1:17" ht="15.75" customHeight="1" x14ac:dyDescent="0.25">
      <c r="A48" s="26" t="s">
        <v>209</v>
      </c>
      <c r="B48" s="19" t="s">
        <v>184</v>
      </c>
      <c r="G48" s="250">
        <f t="shared" ref="G48:Q48" si="14">CHOOSE($T$6,G96,G97,G98)</f>
        <v>0.05</v>
      </c>
      <c r="H48" s="251">
        <f t="shared" si="14"/>
        <v>4.4999999999999998E-2</v>
      </c>
      <c r="I48" s="251">
        <f t="shared" si="14"/>
        <v>0.04</v>
      </c>
      <c r="J48" s="251">
        <f t="shared" si="14"/>
        <v>3.5000000000000003E-2</v>
      </c>
      <c r="K48" s="251">
        <f t="shared" si="14"/>
        <v>3.3000000000000002E-2</v>
      </c>
      <c r="L48" s="251">
        <f t="shared" si="14"/>
        <v>0.03</v>
      </c>
      <c r="M48" s="251">
        <f t="shared" si="14"/>
        <v>0.03</v>
      </c>
      <c r="N48" s="251">
        <f t="shared" si="14"/>
        <v>0.03</v>
      </c>
      <c r="O48" s="251">
        <f t="shared" si="14"/>
        <v>0.03</v>
      </c>
      <c r="P48" s="251">
        <f t="shared" si="14"/>
        <v>0.03</v>
      </c>
      <c r="Q48" s="252">
        <f t="shared" si="14"/>
        <v>0.03</v>
      </c>
    </row>
    <row r="49" spans="1:17" ht="15.75" customHeight="1" x14ac:dyDescent="0.25">
      <c r="A49" s="26" t="s">
        <v>210</v>
      </c>
      <c r="B49" s="19" t="s">
        <v>184</v>
      </c>
      <c r="G49" s="250">
        <f t="shared" ref="G49:Q49" si="15">CHOOSE($T$6,G99,G100,G101)</f>
        <v>7.0000000000000007E-2</v>
      </c>
      <c r="H49" s="251">
        <f t="shared" si="15"/>
        <v>7.0000000000000007E-2</v>
      </c>
      <c r="I49" s="251">
        <f t="shared" si="15"/>
        <v>0.06</v>
      </c>
      <c r="J49" s="251">
        <f t="shared" si="15"/>
        <v>0.06</v>
      </c>
      <c r="K49" s="251">
        <f t="shared" si="15"/>
        <v>0.05</v>
      </c>
      <c r="L49" s="251">
        <f t="shared" si="15"/>
        <v>0.05</v>
      </c>
      <c r="M49" s="251">
        <f t="shared" si="15"/>
        <v>0.05</v>
      </c>
      <c r="N49" s="251">
        <f t="shared" si="15"/>
        <v>0.04</v>
      </c>
      <c r="O49" s="251">
        <f t="shared" si="15"/>
        <v>0.04</v>
      </c>
      <c r="P49" s="251">
        <f t="shared" si="15"/>
        <v>0.04</v>
      </c>
      <c r="Q49" s="252">
        <f t="shared" si="15"/>
        <v>0.04</v>
      </c>
    </row>
    <row r="50" spans="1:17" ht="15.75" customHeight="1" x14ac:dyDescent="0.25">
      <c r="A50" s="26" t="s">
        <v>211</v>
      </c>
      <c r="B50" s="19" t="s">
        <v>184</v>
      </c>
      <c r="G50" s="250">
        <f t="shared" ref="G50:Q50" si="16">CHOOSE($T$6,G102,G103,G104)</f>
        <v>0</v>
      </c>
      <c r="H50" s="251">
        <f t="shared" si="16"/>
        <v>0</v>
      </c>
      <c r="I50" s="251">
        <f t="shared" si="16"/>
        <v>0.08</v>
      </c>
      <c r="J50" s="251">
        <f t="shared" si="16"/>
        <v>0.15</v>
      </c>
      <c r="K50" s="251">
        <f t="shared" si="16"/>
        <v>0.2</v>
      </c>
      <c r="L50" s="251">
        <f t="shared" si="16"/>
        <v>0.252</v>
      </c>
      <c r="M50" s="251">
        <f t="shared" si="16"/>
        <v>0.252</v>
      </c>
      <c r="N50" s="251">
        <f t="shared" si="16"/>
        <v>0.252</v>
      </c>
      <c r="O50" s="251">
        <f t="shared" si="16"/>
        <v>0.252</v>
      </c>
      <c r="P50" s="251">
        <f t="shared" si="16"/>
        <v>0.252</v>
      </c>
      <c r="Q50" s="252">
        <f t="shared" si="16"/>
        <v>0.252</v>
      </c>
    </row>
    <row r="51" spans="1:17" ht="15.75" customHeight="1" x14ac:dyDescent="0.25">
      <c r="A51" s="26" t="s">
        <v>212</v>
      </c>
      <c r="B51" s="19" t="s">
        <v>184</v>
      </c>
      <c r="G51" s="253">
        <f t="shared" ref="G51:Q51" si="17">CHOOSE($T$6,G105,G106,G107)</f>
        <v>0.04</v>
      </c>
      <c r="H51" s="254">
        <f t="shared" si="17"/>
        <v>3.5000000000000003E-2</v>
      </c>
      <c r="I51" s="254">
        <f t="shared" si="17"/>
        <v>0.03</v>
      </c>
      <c r="J51" s="254">
        <f t="shared" si="17"/>
        <v>2.5000000000000001E-2</v>
      </c>
      <c r="K51" s="254">
        <f t="shared" si="17"/>
        <v>2.1999999999999999E-2</v>
      </c>
      <c r="L51" s="254">
        <f t="shared" si="17"/>
        <v>0.02</v>
      </c>
      <c r="M51" s="254">
        <f t="shared" si="17"/>
        <v>1.7999999999999999E-2</v>
      </c>
      <c r="N51" s="254">
        <f t="shared" si="17"/>
        <v>1.6E-2</v>
      </c>
      <c r="O51" s="254">
        <f t="shared" si="17"/>
        <v>1.4E-2</v>
      </c>
      <c r="P51" s="254">
        <f t="shared" si="17"/>
        <v>1.2E-2</v>
      </c>
      <c r="Q51" s="255">
        <f t="shared" si="17"/>
        <v>0.01</v>
      </c>
    </row>
    <row r="53" spans="1:17" ht="15.75" customHeight="1" x14ac:dyDescent="0.25">
      <c r="A53" s="128" t="s">
        <v>324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</row>
    <row r="54" spans="1:17" ht="15.75" customHeight="1" x14ac:dyDescent="0.25">
      <c r="A54" s="23" t="s">
        <v>325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 spans="1:17" ht="15.75" customHeight="1" x14ac:dyDescent="0.25">
      <c r="A55" s="256" t="s">
        <v>270</v>
      </c>
      <c r="B55" s="256"/>
      <c r="C55" s="256"/>
      <c r="D55" s="256"/>
      <c r="E55" s="256"/>
      <c r="F55" s="256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spans="1:17" ht="15.75" customHeight="1" x14ac:dyDescent="0.25">
      <c r="A56" s="257" t="s">
        <v>326</v>
      </c>
      <c r="B56" s="301" t="s">
        <v>184</v>
      </c>
      <c r="C56" s="258"/>
      <c r="D56" s="258"/>
      <c r="E56" s="258"/>
      <c r="F56" s="258"/>
      <c r="G56" s="305">
        <v>0.25</v>
      </c>
      <c r="H56" s="306">
        <v>0.22</v>
      </c>
      <c r="I56" s="306">
        <v>0.19</v>
      </c>
      <c r="J56" s="306">
        <v>0.17</v>
      </c>
      <c r="K56" s="306">
        <v>0.15</v>
      </c>
      <c r="L56" s="306">
        <v>0.13</v>
      </c>
      <c r="M56" s="306">
        <v>0.12</v>
      </c>
      <c r="N56" s="306">
        <v>0.11</v>
      </c>
      <c r="O56" s="306">
        <v>0.1</v>
      </c>
      <c r="P56" s="306">
        <v>0.09</v>
      </c>
      <c r="Q56" s="307">
        <v>0.05</v>
      </c>
    </row>
    <row r="57" spans="1:17" ht="15.75" customHeight="1" x14ac:dyDescent="0.25">
      <c r="A57" s="257" t="s">
        <v>327</v>
      </c>
      <c r="B57" s="259" t="s">
        <v>184</v>
      </c>
      <c r="C57" s="259"/>
      <c r="D57" s="259"/>
      <c r="E57" s="259"/>
      <c r="F57" s="259"/>
      <c r="G57" s="302">
        <v>0.3</v>
      </c>
      <c r="H57" s="303">
        <v>0.27</v>
      </c>
      <c r="I57" s="303">
        <v>0.24</v>
      </c>
      <c r="J57" s="303">
        <v>0.22</v>
      </c>
      <c r="K57" s="303">
        <v>0.2</v>
      </c>
      <c r="L57" s="303">
        <v>0.18</v>
      </c>
      <c r="M57" s="303">
        <v>0.16</v>
      </c>
      <c r="N57" s="303">
        <v>0.14000000000000001</v>
      </c>
      <c r="O57" s="303">
        <v>0.12</v>
      </c>
      <c r="P57" s="303">
        <v>0.1</v>
      </c>
      <c r="Q57" s="304">
        <v>0.06</v>
      </c>
    </row>
    <row r="58" spans="1:17" ht="15.75" customHeight="1" x14ac:dyDescent="0.25">
      <c r="A58" s="257" t="s">
        <v>328</v>
      </c>
      <c r="B58" s="259" t="s">
        <v>184</v>
      </c>
      <c r="C58" s="259"/>
      <c r="D58" s="259"/>
      <c r="E58" s="259"/>
      <c r="F58" s="259"/>
      <c r="G58" s="305">
        <v>0.2</v>
      </c>
      <c r="H58" s="306">
        <v>0.17</v>
      </c>
      <c r="I58" s="306">
        <v>0.14000000000000001</v>
      </c>
      <c r="J58" s="306">
        <v>0.12</v>
      </c>
      <c r="K58" s="306">
        <v>0.1</v>
      </c>
      <c r="L58" s="306">
        <v>0.09</v>
      </c>
      <c r="M58" s="306">
        <v>0.08</v>
      </c>
      <c r="N58" s="306">
        <v>7.0000000000000007E-2</v>
      </c>
      <c r="O58" s="306">
        <v>0.06</v>
      </c>
      <c r="P58" s="306">
        <v>0.05</v>
      </c>
      <c r="Q58" s="307">
        <v>0.04</v>
      </c>
    </row>
    <row r="59" spans="1:17" ht="15.75" customHeight="1" x14ac:dyDescent="0.25">
      <c r="A59" s="257" t="s">
        <v>329</v>
      </c>
      <c r="B59" s="259" t="s">
        <v>184</v>
      </c>
      <c r="C59" s="259"/>
      <c r="D59" s="259"/>
      <c r="E59" s="259"/>
      <c r="F59" s="259"/>
      <c r="G59" s="305">
        <v>0.65</v>
      </c>
      <c r="H59" s="306">
        <v>0.5</v>
      </c>
      <c r="I59" s="306">
        <v>0.38</v>
      </c>
      <c r="J59" s="306">
        <v>0.3</v>
      </c>
      <c r="K59" s="306">
        <v>0.25</v>
      </c>
      <c r="L59" s="306">
        <v>0.22</v>
      </c>
      <c r="M59" s="306">
        <v>0.18</v>
      </c>
      <c r="N59" s="306">
        <v>0.15</v>
      </c>
      <c r="O59" s="306">
        <v>0.12</v>
      </c>
      <c r="P59" s="306">
        <v>0.1</v>
      </c>
      <c r="Q59" s="307">
        <v>0.05</v>
      </c>
    </row>
    <row r="60" spans="1:17" ht="15.75" customHeight="1" x14ac:dyDescent="0.25">
      <c r="A60" s="257" t="s">
        <v>327</v>
      </c>
      <c r="B60" s="259" t="s">
        <v>184</v>
      </c>
      <c r="C60" s="259"/>
      <c r="D60" s="259"/>
      <c r="E60" s="259"/>
      <c r="F60" s="259"/>
      <c r="G60" s="305">
        <v>0.75</v>
      </c>
      <c r="H60" s="306">
        <v>0.6</v>
      </c>
      <c r="I60" s="306">
        <v>0.48</v>
      </c>
      <c r="J60" s="306">
        <v>0.4</v>
      </c>
      <c r="K60" s="306">
        <v>0.35</v>
      </c>
      <c r="L60" s="306">
        <v>0.3</v>
      </c>
      <c r="M60" s="306">
        <v>0.25</v>
      </c>
      <c r="N60" s="306">
        <v>0.22</v>
      </c>
      <c r="O60" s="306">
        <v>0.18</v>
      </c>
      <c r="P60" s="306">
        <v>0.15</v>
      </c>
      <c r="Q60" s="307">
        <v>0.06</v>
      </c>
    </row>
    <row r="61" spans="1:17" ht="15.75" customHeight="1" x14ac:dyDescent="0.25">
      <c r="A61" s="257" t="s">
        <v>328</v>
      </c>
      <c r="B61" s="259" t="s">
        <v>184</v>
      </c>
      <c r="C61" s="259"/>
      <c r="D61" s="259"/>
      <c r="E61" s="259"/>
      <c r="F61" s="259"/>
      <c r="G61" s="305">
        <v>0.5</v>
      </c>
      <c r="H61" s="306">
        <v>0.4</v>
      </c>
      <c r="I61" s="306">
        <v>0.28000000000000003</v>
      </c>
      <c r="J61" s="306">
        <v>0.22</v>
      </c>
      <c r="K61" s="306">
        <v>0.18</v>
      </c>
      <c r="L61" s="306">
        <v>0.15</v>
      </c>
      <c r="M61" s="306">
        <v>0.12</v>
      </c>
      <c r="N61" s="306">
        <v>0.1</v>
      </c>
      <c r="O61" s="306">
        <v>0.08</v>
      </c>
      <c r="P61" s="306">
        <v>0.06</v>
      </c>
      <c r="Q61" s="307">
        <v>0.04</v>
      </c>
    </row>
    <row r="62" spans="1:17" ht="15.75" customHeight="1" x14ac:dyDescent="0.25">
      <c r="A62" s="257" t="s">
        <v>330</v>
      </c>
      <c r="B62" s="259" t="s">
        <v>184</v>
      </c>
      <c r="C62" s="259"/>
      <c r="D62" s="259"/>
      <c r="E62" s="259"/>
      <c r="F62" s="259"/>
      <c r="G62" s="305">
        <v>1</v>
      </c>
      <c r="H62" s="308">
        <v>0.75</v>
      </c>
      <c r="I62" s="308">
        <v>0.55000000000000004</v>
      </c>
      <c r="J62" s="308">
        <v>0.4</v>
      </c>
      <c r="K62" s="308">
        <v>0.3</v>
      </c>
      <c r="L62" s="308">
        <v>0.25</v>
      </c>
      <c r="M62" s="308">
        <v>0.2</v>
      </c>
      <c r="N62" s="308">
        <v>0.16</v>
      </c>
      <c r="O62" s="308">
        <v>0.13</v>
      </c>
      <c r="P62" s="308">
        <v>0.1</v>
      </c>
      <c r="Q62" s="307">
        <v>0.05</v>
      </c>
    </row>
    <row r="63" spans="1:17" ht="15.75" customHeight="1" x14ac:dyDescent="0.25">
      <c r="A63" s="257" t="s">
        <v>327</v>
      </c>
      <c r="B63" s="259" t="s">
        <v>184</v>
      </c>
      <c r="C63" s="259"/>
      <c r="D63" s="259"/>
      <c r="E63" s="259"/>
      <c r="F63" s="259"/>
      <c r="G63" s="305">
        <v>1.2</v>
      </c>
      <c r="H63" s="303">
        <v>0.9</v>
      </c>
      <c r="I63" s="303">
        <v>0.65</v>
      </c>
      <c r="J63" s="303">
        <v>0.5</v>
      </c>
      <c r="K63" s="303">
        <v>0.4</v>
      </c>
      <c r="L63" s="303">
        <v>0.35</v>
      </c>
      <c r="M63" s="303">
        <v>0.28000000000000003</v>
      </c>
      <c r="N63" s="303">
        <v>0.22</v>
      </c>
      <c r="O63" s="303">
        <v>0.18</v>
      </c>
      <c r="P63" s="303">
        <v>0.13</v>
      </c>
      <c r="Q63" s="307">
        <v>0.06</v>
      </c>
    </row>
    <row r="64" spans="1:17" ht="15.75" customHeight="1" x14ac:dyDescent="0.25">
      <c r="A64" s="257" t="s">
        <v>328</v>
      </c>
      <c r="B64" s="259" t="s">
        <v>184</v>
      </c>
      <c r="C64" s="259"/>
      <c r="D64" s="259"/>
      <c r="E64" s="259"/>
      <c r="F64" s="259"/>
      <c r="G64" s="302">
        <v>0.8</v>
      </c>
      <c r="H64" s="303">
        <v>0.6</v>
      </c>
      <c r="I64" s="303">
        <v>0.4</v>
      </c>
      <c r="J64" s="303">
        <v>0.28000000000000003</v>
      </c>
      <c r="K64" s="303">
        <v>0.2</v>
      </c>
      <c r="L64" s="303">
        <v>0.15</v>
      </c>
      <c r="M64" s="303">
        <v>0.12</v>
      </c>
      <c r="N64" s="303">
        <v>0.1</v>
      </c>
      <c r="O64" s="303">
        <v>0.08</v>
      </c>
      <c r="P64" s="303">
        <v>0.06</v>
      </c>
      <c r="Q64" s="304">
        <v>0.04</v>
      </c>
    </row>
    <row r="65" spans="1:17" ht="15.75" customHeight="1" x14ac:dyDescent="0.25">
      <c r="A65" s="257" t="s">
        <v>331</v>
      </c>
      <c r="B65" s="259" t="s">
        <v>184</v>
      </c>
      <c r="C65" s="259"/>
      <c r="D65" s="259"/>
      <c r="E65" s="259"/>
      <c r="F65" s="259"/>
      <c r="G65" s="305">
        <v>1</v>
      </c>
      <c r="H65" s="306">
        <v>0.7</v>
      </c>
      <c r="I65" s="306">
        <v>0.5</v>
      </c>
      <c r="J65" s="306">
        <v>0.35</v>
      </c>
      <c r="K65" s="306">
        <v>0.25</v>
      </c>
      <c r="L65" s="306">
        <v>0.2</v>
      </c>
      <c r="M65" s="306">
        <v>0.15</v>
      </c>
      <c r="N65" s="306">
        <v>0.12</v>
      </c>
      <c r="O65" s="306">
        <v>0.1</v>
      </c>
      <c r="P65" s="306">
        <v>0.08</v>
      </c>
      <c r="Q65" s="307">
        <v>0.05</v>
      </c>
    </row>
    <row r="66" spans="1:17" ht="15.75" customHeight="1" x14ac:dyDescent="0.25">
      <c r="A66" s="257" t="s">
        <v>327</v>
      </c>
      <c r="B66" s="259" t="s">
        <v>184</v>
      </c>
      <c r="C66" s="259"/>
      <c r="D66" s="259"/>
      <c r="E66" s="259"/>
      <c r="F66" s="259"/>
      <c r="G66" s="305">
        <v>1.2</v>
      </c>
      <c r="H66" s="306">
        <v>0.85</v>
      </c>
      <c r="I66" s="306">
        <v>0.65</v>
      </c>
      <c r="J66" s="306">
        <v>0.5</v>
      </c>
      <c r="K66" s="306">
        <v>0.4</v>
      </c>
      <c r="L66" s="306">
        <v>0.3</v>
      </c>
      <c r="M66" s="306">
        <v>0.22</v>
      </c>
      <c r="N66" s="306">
        <v>0.18</v>
      </c>
      <c r="O66" s="306">
        <v>0.14000000000000001</v>
      </c>
      <c r="P66" s="306">
        <v>0.1</v>
      </c>
      <c r="Q66" s="307">
        <v>0.06</v>
      </c>
    </row>
    <row r="67" spans="1:17" ht="15.75" customHeight="1" x14ac:dyDescent="0.25">
      <c r="A67" s="257" t="s">
        <v>328</v>
      </c>
      <c r="B67" s="259" t="s">
        <v>184</v>
      </c>
      <c r="C67" s="259"/>
      <c r="D67" s="259"/>
      <c r="E67" s="259"/>
      <c r="F67" s="259"/>
      <c r="G67" s="305">
        <v>0.8</v>
      </c>
      <c r="H67" s="306">
        <v>0.55000000000000004</v>
      </c>
      <c r="I67" s="306">
        <v>0.35</v>
      </c>
      <c r="J67" s="306">
        <v>0.22</v>
      </c>
      <c r="K67" s="306">
        <v>0.15</v>
      </c>
      <c r="L67" s="306">
        <v>0.12</v>
      </c>
      <c r="M67" s="306">
        <v>0.1</v>
      </c>
      <c r="N67" s="306">
        <v>0.08</v>
      </c>
      <c r="O67" s="306">
        <v>0.06</v>
      </c>
      <c r="P67" s="306">
        <v>0.05</v>
      </c>
      <c r="Q67" s="307">
        <v>0.04</v>
      </c>
    </row>
    <row r="68" spans="1:17" ht="15.75" customHeight="1" x14ac:dyDescent="0.25">
      <c r="A68" s="257" t="s">
        <v>332</v>
      </c>
      <c r="B68" s="259" t="s">
        <v>184</v>
      </c>
      <c r="C68" s="259"/>
      <c r="D68" s="259"/>
      <c r="E68" s="259"/>
      <c r="F68" s="259"/>
      <c r="G68" s="305">
        <v>0.1</v>
      </c>
      <c r="H68" s="306">
        <v>0.1</v>
      </c>
      <c r="I68" s="306">
        <v>0.1</v>
      </c>
      <c r="J68" s="306">
        <v>0.08</v>
      </c>
      <c r="K68" s="306">
        <v>0.08</v>
      </c>
      <c r="L68" s="306">
        <v>0.05</v>
      </c>
      <c r="M68" s="306">
        <v>0.05</v>
      </c>
      <c r="N68" s="306">
        <v>0.05</v>
      </c>
      <c r="O68" s="306">
        <v>0.05</v>
      </c>
      <c r="P68" s="306">
        <v>0.05</v>
      </c>
      <c r="Q68" s="307">
        <v>0.05</v>
      </c>
    </row>
    <row r="69" spans="1:17" ht="15.75" customHeight="1" x14ac:dyDescent="0.25">
      <c r="A69" s="257" t="s">
        <v>327</v>
      </c>
      <c r="B69" s="259" t="s">
        <v>184</v>
      </c>
      <c r="C69" s="259"/>
      <c r="D69" s="259"/>
      <c r="E69" s="259"/>
      <c r="F69" s="259"/>
      <c r="G69" s="263">
        <v>0.15</v>
      </c>
      <c r="H69" s="264">
        <v>0.15</v>
      </c>
      <c r="I69" s="264">
        <v>0.15</v>
      </c>
      <c r="J69" s="264">
        <v>0.12</v>
      </c>
      <c r="K69" s="264">
        <v>0.1</v>
      </c>
      <c r="L69" s="264">
        <v>0.08</v>
      </c>
      <c r="M69" s="264">
        <v>0.08</v>
      </c>
      <c r="N69" s="264">
        <v>0.08</v>
      </c>
      <c r="O69" s="264">
        <v>0.08</v>
      </c>
      <c r="P69" s="264">
        <v>0.08</v>
      </c>
      <c r="Q69" s="265">
        <v>0.06</v>
      </c>
    </row>
    <row r="70" spans="1:17" ht="15.75" customHeight="1" x14ac:dyDescent="0.25">
      <c r="A70" s="257" t="s">
        <v>328</v>
      </c>
      <c r="B70" s="259" t="s">
        <v>184</v>
      </c>
      <c r="C70" s="259"/>
      <c r="D70" s="259"/>
      <c r="E70" s="259"/>
      <c r="F70" s="259"/>
      <c r="G70" s="267">
        <v>0.08</v>
      </c>
      <c r="H70" s="266">
        <v>0.08</v>
      </c>
      <c r="I70" s="266">
        <v>0.05</v>
      </c>
      <c r="J70" s="266">
        <v>0.05</v>
      </c>
      <c r="K70" s="266">
        <v>0.05</v>
      </c>
      <c r="L70" s="266">
        <v>0.04</v>
      </c>
      <c r="M70" s="266">
        <v>0.04</v>
      </c>
      <c r="N70" s="266">
        <v>0.04</v>
      </c>
      <c r="O70" s="266">
        <v>0.04</v>
      </c>
      <c r="P70" s="266">
        <v>0.04</v>
      </c>
      <c r="Q70" s="268">
        <v>0.04</v>
      </c>
    </row>
    <row r="71" spans="1:17" ht="15.75" customHeight="1" x14ac:dyDescent="0.25">
      <c r="A71" s="259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</row>
    <row r="72" spans="1:17" ht="15.75" customHeight="1" x14ac:dyDescent="0.25">
      <c r="A72" s="269" t="s">
        <v>271</v>
      </c>
      <c r="B72" s="256"/>
      <c r="C72" s="256"/>
      <c r="D72" s="256"/>
      <c r="E72" s="256"/>
      <c r="F72" s="256"/>
      <c r="G72" s="270"/>
      <c r="H72" s="271"/>
      <c r="I72" s="271"/>
      <c r="J72" s="271"/>
      <c r="K72" s="271"/>
      <c r="L72" s="271"/>
      <c r="M72" s="271"/>
      <c r="N72" s="271"/>
      <c r="O72" s="271"/>
      <c r="P72" s="271"/>
      <c r="Q72" s="272"/>
    </row>
    <row r="73" spans="1:17" ht="15.75" customHeight="1" x14ac:dyDescent="0.25">
      <c r="A73" s="257" t="s">
        <v>326</v>
      </c>
      <c r="B73" s="259" t="s">
        <v>184</v>
      </c>
      <c r="C73" s="259"/>
      <c r="D73" s="259"/>
      <c r="E73" s="259"/>
      <c r="F73" s="259"/>
      <c r="G73" s="263">
        <v>0.21</v>
      </c>
      <c r="H73" s="266">
        <v>0.22</v>
      </c>
      <c r="I73" s="266">
        <v>0.23</v>
      </c>
      <c r="J73" s="266">
        <v>0.24</v>
      </c>
      <c r="K73" s="266">
        <v>0.24</v>
      </c>
      <c r="L73" s="266">
        <v>0.25</v>
      </c>
      <c r="M73" s="266">
        <v>0.25</v>
      </c>
      <c r="N73" s="266">
        <v>0.25</v>
      </c>
      <c r="O73" s="266">
        <v>0.25</v>
      </c>
      <c r="P73" s="266">
        <v>0.25</v>
      </c>
      <c r="Q73" s="265">
        <v>0.25</v>
      </c>
    </row>
    <row r="74" spans="1:17" ht="15.75" customHeight="1" x14ac:dyDescent="0.25">
      <c r="A74" s="257" t="s">
        <v>327</v>
      </c>
      <c r="B74" s="259" t="s">
        <v>184</v>
      </c>
      <c r="C74" s="259"/>
      <c r="D74" s="259"/>
      <c r="E74" s="259"/>
      <c r="F74" s="259"/>
      <c r="G74" s="263">
        <v>0.23</v>
      </c>
      <c r="H74" s="261">
        <v>0.24</v>
      </c>
      <c r="I74" s="261">
        <v>0.25</v>
      </c>
      <c r="J74" s="261">
        <v>0.26</v>
      </c>
      <c r="K74" s="261">
        <v>0.27</v>
      </c>
      <c r="L74" s="261">
        <v>0.28000000000000003</v>
      </c>
      <c r="M74" s="261">
        <v>0.28000000000000003</v>
      </c>
      <c r="N74" s="261">
        <v>0.28000000000000003</v>
      </c>
      <c r="O74" s="261">
        <v>0.28000000000000003</v>
      </c>
      <c r="P74" s="261">
        <v>0.28000000000000003</v>
      </c>
      <c r="Q74" s="265">
        <v>0.28000000000000003</v>
      </c>
    </row>
    <row r="75" spans="1:17" ht="15.75" customHeight="1" x14ac:dyDescent="0.25">
      <c r="A75" s="257" t="s">
        <v>328</v>
      </c>
      <c r="B75" s="259" t="s">
        <v>184</v>
      </c>
      <c r="C75" s="259"/>
      <c r="D75" s="259"/>
      <c r="E75" s="259"/>
      <c r="F75" s="259"/>
      <c r="G75" s="263">
        <v>0.19</v>
      </c>
      <c r="H75" s="264">
        <v>0.2</v>
      </c>
      <c r="I75" s="264">
        <v>0.2</v>
      </c>
      <c r="J75" s="264">
        <v>0.21</v>
      </c>
      <c r="K75" s="264">
        <v>0.21</v>
      </c>
      <c r="L75" s="264">
        <v>0.22</v>
      </c>
      <c r="M75" s="264">
        <v>0.22</v>
      </c>
      <c r="N75" s="264">
        <v>0.22</v>
      </c>
      <c r="O75" s="264">
        <v>0.22</v>
      </c>
      <c r="P75" s="264">
        <v>0.22</v>
      </c>
      <c r="Q75" s="265">
        <v>0.22</v>
      </c>
    </row>
    <row r="76" spans="1:17" ht="15.75" customHeight="1" x14ac:dyDescent="0.25">
      <c r="A76" s="257" t="s">
        <v>329</v>
      </c>
      <c r="B76" s="259" t="s">
        <v>184</v>
      </c>
      <c r="C76" s="259"/>
      <c r="D76" s="259"/>
      <c r="E76" s="259"/>
      <c r="F76" s="259"/>
      <c r="G76" s="263">
        <v>0.01</v>
      </c>
      <c r="H76" s="264">
        <v>0.02</v>
      </c>
      <c r="I76" s="264">
        <v>0.03</v>
      </c>
      <c r="J76" s="264">
        <v>0.04</v>
      </c>
      <c r="K76" s="264">
        <v>0.05</v>
      </c>
      <c r="L76" s="264">
        <v>0.05</v>
      </c>
      <c r="M76" s="264">
        <v>0.05</v>
      </c>
      <c r="N76" s="264">
        <v>0.05</v>
      </c>
      <c r="O76" s="264">
        <v>0.05</v>
      </c>
      <c r="P76" s="264">
        <v>0.05</v>
      </c>
      <c r="Q76" s="265">
        <v>0.05</v>
      </c>
    </row>
    <row r="77" spans="1:17" ht="15.75" customHeight="1" x14ac:dyDescent="0.25">
      <c r="A77" s="257" t="s">
        <v>327</v>
      </c>
      <c r="B77" s="259" t="s">
        <v>184</v>
      </c>
      <c r="C77" s="259"/>
      <c r="D77" s="259"/>
      <c r="E77" s="259"/>
      <c r="F77" s="259"/>
      <c r="G77" s="263">
        <v>0.02</v>
      </c>
      <c r="H77" s="266">
        <v>0.03</v>
      </c>
      <c r="I77" s="266">
        <v>0.04</v>
      </c>
      <c r="J77" s="266">
        <v>0.05</v>
      </c>
      <c r="K77" s="266">
        <v>0.06</v>
      </c>
      <c r="L77" s="266">
        <v>7.0000000000000007E-2</v>
      </c>
      <c r="M77" s="266">
        <v>7.0000000000000007E-2</v>
      </c>
      <c r="N77" s="266">
        <v>7.0000000000000007E-2</v>
      </c>
      <c r="O77" s="266">
        <v>7.0000000000000007E-2</v>
      </c>
      <c r="P77" s="266">
        <v>7.0000000000000007E-2</v>
      </c>
      <c r="Q77" s="265">
        <v>7.0000000000000007E-2</v>
      </c>
    </row>
    <row r="78" spans="1:17" ht="15.75" customHeight="1" x14ac:dyDescent="0.25">
      <c r="A78" s="257" t="s">
        <v>328</v>
      </c>
      <c r="B78" s="259" t="s">
        <v>184</v>
      </c>
      <c r="C78" s="259"/>
      <c r="D78" s="259"/>
      <c r="E78" s="259"/>
      <c r="F78" s="259"/>
      <c r="G78" s="263">
        <v>0</v>
      </c>
      <c r="H78" s="261">
        <v>0</v>
      </c>
      <c r="I78" s="261">
        <v>0.01</v>
      </c>
      <c r="J78" s="261">
        <v>0.02</v>
      </c>
      <c r="K78" s="261">
        <v>0.02</v>
      </c>
      <c r="L78" s="261">
        <v>0.03</v>
      </c>
      <c r="M78" s="261">
        <v>0.03</v>
      </c>
      <c r="N78" s="261">
        <v>0.03</v>
      </c>
      <c r="O78" s="261">
        <v>0.03</v>
      </c>
      <c r="P78" s="261">
        <v>0.03</v>
      </c>
      <c r="Q78" s="265">
        <v>0.03</v>
      </c>
    </row>
    <row r="79" spans="1:17" ht="15.75" customHeight="1" x14ac:dyDescent="0.25">
      <c r="A79" s="257" t="s">
        <v>330</v>
      </c>
      <c r="B79" s="301" t="s">
        <v>184</v>
      </c>
      <c r="C79" s="258"/>
      <c r="D79" s="258"/>
      <c r="E79" s="258"/>
      <c r="F79" s="258"/>
      <c r="G79" s="302">
        <v>0.02</v>
      </c>
      <c r="H79" s="303">
        <v>0.05</v>
      </c>
      <c r="I79" s="303">
        <v>0.08</v>
      </c>
      <c r="J79" s="303">
        <v>0.1</v>
      </c>
      <c r="K79" s="303">
        <v>0.12</v>
      </c>
      <c r="L79" s="303">
        <v>0.13</v>
      </c>
      <c r="M79" s="303">
        <v>0.14000000000000001</v>
      </c>
      <c r="N79" s="303">
        <v>0.15</v>
      </c>
      <c r="O79" s="303">
        <v>0.15</v>
      </c>
      <c r="P79" s="303">
        <v>0.15</v>
      </c>
      <c r="Q79" s="304">
        <v>0.15</v>
      </c>
    </row>
    <row r="80" spans="1:17" ht="15.75" customHeight="1" x14ac:dyDescent="0.25">
      <c r="A80" s="257" t="s">
        <v>327</v>
      </c>
      <c r="B80" s="259" t="s">
        <v>184</v>
      </c>
      <c r="C80" s="259"/>
      <c r="D80" s="259"/>
      <c r="E80" s="259"/>
      <c r="F80" s="259"/>
      <c r="G80" s="302">
        <v>0.03</v>
      </c>
      <c r="H80" s="303">
        <v>7.0000000000000007E-2</v>
      </c>
      <c r="I80" s="303">
        <v>0.11</v>
      </c>
      <c r="J80" s="303">
        <v>0.14000000000000001</v>
      </c>
      <c r="K80" s="303">
        <v>0.16</v>
      </c>
      <c r="L80" s="303">
        <v>0.17</v>
      </c>
      <c r="M80" s="303">
        <v>0.18</v>
      </c>
      <c r="N80" s="303">
        <v>0.19</v>
      </c>
      <c r="O80" s="303">
        <v>0.19</v>
      </c>
      <c r="P80" s="303">
        <v>0.19</v>
      </c>
      <c r="Q80" s="304">
        <v>0.19</v>
      </c>
    </row>
    <row r="81" spans="1:17" ht="15.75" customHeight="1" x14ac:dyDescent="0.25">
      <c r="A81" s="257" t="s">
        <v>328</v>
      </c>
      <c r="B81" s="259" t="s">
        <v>184</v>
      </c>
      <c r="C81" s="259"/>
      <c r="D81" s="259"/>
      <c r="E81" s="259"/>
      <c r="F81" s="259"/>
      <c r="G81" s="263">
        <v>0</v>
      </c>
      <c r="H81" s="264">
        <v>0.02</v>
      </c>
      <c r="I81" s="264">
        <v>0.04</v>
      </c>
      <c r="J81" s="264">
        <v>0.06</v>
      </c>
      <c r="K81" s="264">
        <v>0.08</v>
      </c>
      <c r="L81" s="264">
        <v>0.09</v>
      </c>
      <c r="M81" s="264">
        <v>0.1</v>
      </c>
      <c r="N81" s="264">
        <v>0.11</v>
      </c>
      <c r="O81" s="264">
        <v>0.11</v>
      </c>
      <c r="P81" s="264">
        <v>0.11</v>
      </c>
      <c r="Q81" s="265">
        <v>0.11</v>
      </c>
    </row>
    <row r="82" spans="1:17" ht="15.75" customHeight="1" x14ac:dyDescent="0.25">
      <c r="A82" s="257" t="s">
        <v>331</v>
      </c>
      <c r="B82" s="259" t="s">
        <v>184</v>
      </c>
      <c r="C82" s="259"/>
      <c r="D82" s="259"/>
      <c r="E82" s="259"/>
      <c r="F82" s="259"/>
      <c r="G82" s="263">
        <v>-0.05</v>
      </c>
      <c r="H82" s="264">
        <v>-0.02</v>
      </c>
      <c r="I82" s="264">
        <v>0.02</v>
      </c>
      <c r="J82" s="264">
        <v>0.05</v>
      </c>
      <c r="K82" s="264">
        <v>0.08</v>
      </c>
      <c r="L82" s="264">
        <v>0.1</v>
      </c>
      <c r="M82" s="264">
        <v>0.12</v>
      </c>
      <c r="N82" s="264">
        <v>0.14000000000000001</v>
      </c>
      <c r="O82" s="264">
        <v>0.15</v>
      </c>
      <c r="P82" s="264">
        <v>0.15</v>
      </c>
      <c r="Q82" s="265">
        <v>0.15</v>
      </c>
    </row>
    <row r="83" spans="1:17" ht="15.75" customHeight="1" x14ac:dyDescent="0.25">
      <c r="A83" s="257" t="s">
        <v>327</v>
      </c>
      <c r="B83" s="259" t="s">
        <v>184</v>
      </c>
      <c r="C83" s="259"/>
      <c r="D83" s="259"/>
      <c r="E83" s="259"/>
      <c r="F83" s="259"/>
      <c r="G83" s="263">
        <v>-0.03</v>
      </c>
      <c r="H83" s="264">
        <v>0</v>
      </c>
      <c r="I83" s="264">
        <v>0.04</v>
      </c>
      <c r="J83" s="264">
        <v>0.08</v>
      </c>
      <c r="K83" s="264">
        <v>0.12</v>
      </c>
      <c r="L83" s="264">
        <v>0.15</v>
      </c>
      <c r="M83" s="264">
        <v>0.17</v>
      </c>
      <c r="N83" s="264">
        <v>0.18</v>
      </c>
      <c r="O83" s="264">
        <v>0.19</v>
      </c>
      <c r="P83" s="264">
        <v>0.19</v>
      </c>
      <c r="Q83" s="265">
        <v>0.19</v>
      </c>
    </row>
    <row r="84" spans="1:17" ht="15.75" customHeight="1" x14ac:dyDescent="0.25">
      <c r="A84" s="257" t="s">
        <v>328</v>
      </c>
      <c r="B84" s="259" t="s">
        <v>184</v>
      </c>
      <c r="C84" s="259"/>
      <c r="D84" s="259"/>
      <c r="E84" s="259"/>
      <c r="F84" s="259"/>
      <c r="G84" s="263">
        <v>-0.08</v>
      </c>
      <c r="H84" s="264">
        <v>-0.05</v>
      </c>
      <c r="I84" s="264">
        <v>-0.02</v>
      </c>
      <c r="J84" s="264">
        <v>0</v>
      </c>
      <c r="K84" s="264">
        <v>0.03</v>
      </c>
      <c r="L84" s="264">
        <v>0.05</v>
      </c>
      <c r="M84" s="264">
        <v>7.0000000000000007E-2</v>
      </c>
      <c r="N84" s="264">
        <v>0.09</v>
      </c>
      <c r="O84" s="264">
        <v>0.1</v>
      </c>
      <c r="P84" s="264">
        <v>0.1</v>
      </c>
      <c r="Q84" s="265">
        <v>0.1</v>
      </c>
    </row>
    <row r="85" spans="1:17" ht="15.75" customHeight="1" x14ac:dyDescent="0.25">
      <c r="A85" s="257" t="s">
        <v>332</v>
      </c>
      <c r="B85" s="259" t="s">
        <v>184</v>
      </c>
      <c r="C85" s="259"/>
      <c r="D85" s="259"/>
      <c r="E85" s="259"/>
      <c r="F85" s="259"/>
      <c r="G85" s="263">
        <v>-0.3</v>
      </c>
      <c r="H85" s="266">
        <v>-0.2</v>
      </c>
      <c r="I85" s="266">
        <v>-0.1</v>
      </c>
      <c r="J85" s="266">
        <v>0</v>
      </c>
      <c r="K85" s="266">
        <v>0.05</v>
      </c>
      <c r="L85" s="266">
        <v>0.05</v>
      </c>
      <c r="M85" s="266">
        <v>0.05</v>
      </c>
      <c r="N85" s="266">
        <v>0.05</v>
      </c>
      <c r="O85" s="266">
        <v>0.05</v>
      </c>
      <c r="P85" s="266">
        <v>0.05</v>
      </c>
      <c r="Q85" s="265">
        <v>0.05</v>
      </c>
    </row>
    <row r="86" spans="1:17" ht="15.75" customHeight="1" x14ac:dyDescent="0.25">
      <c r="A86" s="257" t="s">
        <v>327</v>
      </c>
      <c r="B86" s="259" t="s">
        <v>184</v>
      </c>
      <c r="C86" s="259"/>
      <c r="D86" s="259"/>
      <c r="E86" s="259"/>
      <c r="F86" s="259"/>
      <c r="G86" s="263">
        <v>-0.2</v>
      </c>
      <c r="H86" s="261">
        <v>-0.1</v>
      </c>
      <c r="I86" s="261">
        <v>0</v>
      </c>
      <c r="J86" s="261">
        <v>0.05</v>
      </c>
      <c r="K86" s="261">
        <v>0.08</v>
      </c>
      <c r="L86" s="261">
        <v>0.08</v>
      </c>
      <c r="M86" s="261">
        <v>0.08</v>
      </c>
      <c r="N86" s="261">
        <v>0.08</v>
      </c>
      <c r="O86" s="261">
        <v>0.08</v>
      </c>
      <c r="P86" s="261">
        <v>0.08</v>
      </c>
      <c r="Q86" s="265">
        <v>0.08</v>
      </c>
    </row>
    <row r="87" spans="1:17" ht="15.75" customHeight="1" x14ac:dyDescent="0.25">
      <c r="A87" s="257" t="s">
        <v>328</v>
      </c>
      <c r="B87" s="259" t="s">
        <v>184</v>
      </c>
      <c r="C87" s="259"/>
      <c r="D87" s="259"/>
      <c r="E87" s="259"/>
      <c r="F87" s="259"/>
      <c r="G87" s="273">
        <v>-0.4</v>
      </c>
      <c r="H87" s="274">
        <v>-0.3</v>
      </c>
      <c r="I87" s="274">
        <v>-0.2</v>
      </c>
      <c r="J87" s="274">
        <v>-0.1</v>
      </c>
      <c r="K87" s="274">
        <v>-0.05</v>
      </c>
      <c r="L87" s="274">
        <v>0</v>
      </c>
      <c r="M87" s="274">
        <v>0</v>
      </c>
      <c r="N87" s="274">
        <v>0</v>
      </c>
      <c r="O87" s="274">
        <v>0</v>
      </c>
      <c r="P87" s="274">
        <v>0</v>
      </c>
      <c r="Q87" s="275">
        <v>0</v>
      </c>
    </row>
    <row r="88" spans="1:17" ht="15.75" customHeight="1" x14ac:dyDescent="0.25">
      <c r="A88" s="257"/>
      <c r="B88" s="259"/>
      <c r="C88" s="259"/>
      <c r="D88" s="259"/>
      <c r="E88" s="259"/>
      <c r="F88" s="259"/>
      <c r="G88" s="276"/>
      <c r="H88" s="259"/>
      <c r="I88" s="259"/>
      <c r="J88" s="259"/>
      <c r="K88" s="259"/>
      <c r="L88" s="259"/>
      <c r="M88" s="259"/>
      <c r="N88" s="259"/>
      <c r="O88" s="259"/>
      <c r="P88" s="259"/>
      <c r="Q88" s="277"/>
    </row>
    <row r="89" spans="1:17" ht="15.75" customHeight="1" x14ac:dyDescent="0.25">
      <c r="A89" s="269" t="s">
        <v>333</v>
      </c>
      <c r="B89" s="256"/>
      <c r="C89" s="256"/>
      <c r="D89" s="256"/>
      <c r="E89" s="256"/>
      <c r="F89" s="256"/>
      <c r="G89" s="270"/>
      <c r="H89" s="271"/>
      <c r="I89" s="271"/>
      <c r="J89" s="271"/>
      <c r="K89" s="271"/>
      <c r="L89" s="271"/>
      <c r="M89" s="271"/>
      <c r="N89" s="271"/>
      <c r="O89" s="271"/>
      <c r="P89" s="271"/>
      <c r="Q89" s="272"/>
    </row>
    <row r="90" spans="1:17" ht="15.75" customHeight="1" x14ac:dyDescent="0.25">
      <c r="A90" s="257" t="s">
        <v>334</v>
      </c>
      <c r="B90" s="259" t="s">
        <v>184</v>
      </c>
      <c r="C90" s="259"/>
      <c r="D90" s="259"/>
      <c r="E90" s="259"/>
      <c r="F90" s="259"/>
      <c r="G90" s="263">
        <v>3.5000000000000003E-2</v>
      </c>
      <c r="H90" s="266">
        <v>0.03</v>
      </c>
      <c r="I90" s="266">
        <v>2.7E-2</v>
      </c>
      <c r="J90" s="266">
        <v>2.5000000000000001E-2</v>
      </c>
      <c r="K90" s="266">
        <v>2.1999999999999999E-2</v>
      </c>
      <c r="L90" s="266">
        <v>0.02</v>
      </c>
      <c r="M90" s="266">
        <v>1.7999999999999999E-2</v>
      </c>
      <c r="N90" s="266">
        <v>1.7000000000000001E-2</v>
      </c>
      <c r="O90" s="266">
        <v>1.4999999999999999E-2</v>
      </c>
      <c r="P90" s="266">
        <v>1.4999999999999999E-2</v>
      </c>
      <c r="Q90" s="265">
        <v>1.4999999999999999E-2</v>
      </c>
    </row>
    <row r="91" spans="1:17" ht="15.75" customHeight="1" x14ac:dyDescent="0.25">
      <c r="A91" s="257" t="s">
        <v>327</v>
      </c>
      <c r="B91" s="259" t="s">
        <v>184</v>
      </c>
      <c r="C91" s="259"/>
      <c r="D91" s="259"/>
      <c r="E91" s="259"/>
      <c r="F91" s="259"/>
      <c r="G91" s="263">
        <v>0.03</v>
      </c>
      <c r="H91" s="261">
        <v>2.5000000000000001E-2</v>
      </c>
      <c r="I91" s="261">
        <v>2.1999999999999999E-2</v>
      </c>
      <c r="J91" s="261">
        <v>0.02</v>
      </c>
      <c r="K91" s="261">
        <v>1.7999999999999999E-2</v>
      </c>
      <c r="L91" s="261">
        <v>1.4999999999999999E-2</v>
      </c>
      <c r="M91" s="261">
        <v>1.4999999999999999E-2</v>
      </c>
      <c r="N91" s="261">
        <v>1.4999999999999999E-2</v>
      </c>
      <c r="O91" s="261">
        <v>1.2999999999999999E-2</v>
      </c>
      <c r="P91" s="261">
        <v>1.2999999999999999E-2</v>
      </c>
      <c r="Q91" s="265">
        <v>1.2999999999999999E-2</v>
      </c>
    </row>
    <row r="92" spans="1:17" ht="15.75" customHeight="1" x14ac:dyDescent="0.25">
      <c r="A92" s="257" t="s">
        <v>328</v>
      </c>
      <c r="B92" s="259" t="s">
        <v>184</v>
      </c>
      <c r="C92" s="259"/>
      <c r="D92" s="259"/>
      <c r="E92" s="259"/>
      <c r="F92" s="259"/>
      <c r="G92" s="263">
        <v>0.04</v>
      </c>
      <c r="H92" s="266">
        <v>3.5000000000000003E-2</v>
      </c>
      <c r="I92" s="266">
        <v>0.03</v>
      </c>
      <c r="J92" s="266">
        <v>2.8000000000000001E-2</v>
      </c>
      <c r="K92" s="266">
        <v>2.5000000000000001E-2</v>
      </c>
      <c r="L92" s="266">
        <v>2.3E-2</v>
      </c>
      <c r="M92" s="266">
        <v>2.1999999999999999E-2</v>
      </c>
      <c r="N92" s="266">
        <v>0.02</v>
      </c>
      <c r="O92" s="266">
        <v>1.7999999999999999E-2</v>
      </c>
      <c r="P92" s="266">
        <v>1.7999999999999999E-2</v>
      </c>
      <c r="Q92" s="265">
        <v>1.7999999999999999E-2</v>
      </c>
    </row>
    <row r="93" spans="1:17" ht="15.75" customHeight="1" x14ac:dyDescent="0.25">
      <c r="A93" s="257" t="s">
        <v>335</v>
      </c>
      <c r="B93" s="259" t="s">
        <v>184</v>
      </c>
      <c r="C93" s="259"/>
      <c r="D93" s="259"/>
      <c r="E93" s="259"/>
      <c r="F93" s="259"/>
      <c r="G93" s="263">
        <v>4.2999999999999997E-2</v>
      </c>
      <c r="H93" s="261">
        <v>4.2000000000000003E-2</v>
      </c>
      <c r="I93" s="261">
        <v>0.04</v>
      </c>
      <c r="J93" s="261">
        <v>3.7999999999999999E-2</v>
      </c>
      <c r="K93" s="261">
        <v>3.6999999999999998E-2</v>
      </c>
      <c r="L93" s="261">
        <v>3.5999999999999997E-2</v>
      </c>
      <c r="M93" s="261">
        <v>3.5000000000000003E-2</v>
      </c>
      <c r="N93" s="261">
        <v>3.5000000000000003E-2</v>
      </c>
      <c r="O93" s="261">
        <v>3.5000000000000003E-2</v>
      </c>
      <c r="P93" s="261">
        <v>3.5000000000000003E-2</v>
      </c>
      <c r="Q93" s="265">
        <v>3.5000000000000003E-2</v>
      </c>
    </row>
    <row r="94" spans="1:17" ht="15.75" customHeight="1" x14ac:dyDescent="0.25">
      <c r="A94" s="257" t="s">
        <v>327</v>
      </c>
      <c r="B94" s="259" t="s">
        <v>184</v>
      </c>
      <c r="C94" s="259"/>
      <c r="D94" s="259"/>
      <c r="E94" s="259"/>
      <c r="F94" s="259"/>
      <c r="G94" s="260">
        <v>0.04</v>
      </c>
      <c r="H94" s="261">
        <v>3.7999999999999999E-2</v>
      </c>
      <c r="I94" s="261">
        <v>3.5999999999999997E-2</v>
      </c>
      <c r="J94" s="261">
        <v>3.5000000000000003E-2</v>
      </c>
      <c r="K94" s="261">
        <v>3.4000000000000002E-2</v>
      </c>
      <c r="L94" s="261">
        <v>3.3000000000000002E-2</v>
      </c>
      <c r="M94" s="261">
        <v>3.3000000000000002E-2</v>
      </c>
      <c r="N94" s="261">
        <v>3.3000000000000002E-2</v>
      </c>
      <c r="O94" s="261">
        <v>3.3000000000000002E-2</v>
      </c>
      <c r="P94" s="261">
        <v>3.3000000000000002E-2</v>
      </c>
      <c r="Q94" s="262">
        <v>3.3000000000000002E-2</v>
      </c>
    </row>
    <row r="95" spans="1:17" ht="15.75" customHeight="1" x14ac:dyDescent="0.25">
      <c r="A95" s="257" t="s">
        <v>328</v>
      </c>
      <c r="B95" s="259" t="s">
        <v>184</v>
      </c>
      <c r="C95" s="259"/>
      <c r="D95" s="259"/>
      <c r="E95" s="259"/>
      <c r="F95" s="259"/>
      <c r="G95" s="263">
        <v>4.4999999999999998E-2</v>
      </c>
      <c r="H95" s="264">
        <v>4.3999999999999997E-2</v>
      </c>
      <c r="I95" s="264">
        <v>4.2000000000000003E-2</v>
      </c>
      <c r="J95" s="264">
        <v>0.04</v>
      </c>
      <c r="K95" s="264">
        <v>0.04</v>
      </c>
      <c r="L95" s="264">
        <v>0.04</v>
      </c>
      <c r="M95" s="264">
        <v>0.04</v>
      </c>
      <c r="N95" s="264">
        <v>0.04</v>
      </c>
      <c r="O95" s="264">
        <v>0.04</v>
      </c>
      <c r="P95" s="264">
        <v>0.04</v>
      </c>
      <c r="Q95" s="265">
        <v>0.04</v>
      </c>
    </row>
    <row r="96" spans="1:17" ht="15.75" customHeight="1" x14ac:dyDescent="0.25">
      <c r="A96" s="257" t="s">
        <v>336</v>
      </c>
      <c r="B96" s="259" t="s">
        <v>184</v>
      </c>
      <c r="C96" s="259"/>
      <c r="D96" s="259"/>
      <c r="E96" s="259"/>
      <c r="F96" s="259"/>
      <c r="G96" s="263">
        <v>5.5E-2</v>
      </c>
      <c r="H96" s="264">
        <v>0.05</v>
      </c>
      <c r="I96" s="264">
        <v>4.4999999999999998E-2</v>
      </c>
      <c r="J96" s="264">
        <v>0.04</v>
      </c>
      <c r="K96" s="264">
        <v>3.7999999999999999E-2</v>
      </c>
      <c r="L96" s="264">
        <v>3.5000000000000003E-2</v>
      </c>
      <c r="M96" s="264">
        <v>3.5000000000000003E-2</v>
      </c>
      <c r="N96" s="264">
        <v>3.5000000000000003E-2</v>
      </c>
      <c r="O96" s="264">
        <v>3.5000000000000003E-2</v>
      </c>
      <c r="P96" s="264">
        <v>3.5000000000000003E-2</v>
      </c>
      <c r="Q96" s="265">
        <v>3.5000000000000003E-2</v>
      </c>
    </row>
    <row r="97" spans="1:17" ht="15.75" customHeight="1" x14ac:dyDescent="0.25">
      <c r="A97" s="257" t="s">
        <v>327</v>
      </c>
      <c r="B97" s="259" t="s">
        <v>184</v>
      </c>
      <c r="C97" s="259"/>
      <c r="D97" s="259"/>
      <c r="E97" s="259"/>
      <c r="F97" s="259"/>
      <c r="G97" s="263">
        <v>0.05</v>
      </c>
      <c r="H97" s="264">
        <v>4.4999999999999998E-2</v>
      </c>
      <c r="I97" s="264">
        <v>0.04</v>
      </c>
      <c r="J97" s="264">
        <v>3.5000000000000003E-2</v>
      </c>
      <c r="K97" s="264">
        <v>3.3000000000000002E-2</v>
      </c>
      <c r="L97" s="264">
        <v>0.03</v>
      </c>
      <c r="M97" s="264">
        <v>0.03</v>
      </c>
      <c r="N97" s="264">
        <v>0.03</v>
      </c>
      <c r="O97" s="264">
        <v>0.03</v>
      </c>
      <c r="P97" s="264">
        <v>0.03</v>
      </c>
      <c r="Q97" s="265">
        <v>0.03</v>
      </c>
    </row>
    <row r="98" spans="1:17" ht="15.75" customHeight="1" x14ac:dyDescent="0.25">
      <c r="A98" s="257" t="s">
        <v>328</v>
      </c>
      <c r="B98" s="259" t="s">
        <v>184</v>
      </c>
      <c r="C98" s="259"/>
      <c r="D98" s="259"/>
      <c r="E98" s="259"/>
      <c r="F98" s="259"/>
      <c r="G98" s="263">
        <v>0.06</v>
      </c>
      <c r="H98" s="264">
        <v>5.5E-2</v>
      </c>
      <c r="I98" s="264">
        <v>0.05</v>
      </c>
      <c r="J98" s="264">
        <v>4.4999999999999998E-2</v>
      </c>
      <c r="K98" s="264">
        <v>4.2999999999999997E-2</v>
      </c>
      <c r="L98" s="264">
        <v>0.04</v>
      </c>
      <c r="M98" s="264">
        <v>0.04</v>
      </c>
      <c r="N98" s="264">
        <v>0.04</v>
      </c>
      <c r="O98" s="264">
        <v>0.04</v>
      </c>
      <c r="P98" s="264">
        <v>0.04</v>
      </c>
      <c r="Q98" s="265">
        <v>0.04</v>
      </c>
    </row>
    <row r="99" spans="1:17" ht="15.75" customHeight="1" x14ac:dyDescent="0.25">
      <c r="A99" s="257" t="s">
        <v>337</v>
      </c>
      <c r="B99" s="259" t="s">
        <v>184</v>
      </c>
      <c r="C99" s="259"/>
      <c r="D99" s="259"/>
      <c r="E99" s="259"/>
      <c r="F99" s="259"/>
      <c r="G99" s="263">
        <v>0.08</v>
      </c>
      <c r="H99" s="264">
        <v>0.08</v>
      </c>
      <c r="I99" s="264">
        <v>7.0000000000000007E-2</v>
      </c>
      <c r="J99" s="264">
        <v>7.0000000000000007E-2</v>
      </c>
      <c r="K99" s="264">
        <v>0.06</v>
      </c>
      <c r="L99" s="264">
        <v>0.06</v>
      </c>
      <c r="M99" s="264">
        <v>0.05</v>
      </c>
      <c r="N99" s="264">
        <v>0.05</v>
      </c>
      <c r="O99" s="264">
        <v>0.05</v>
      </c>
      <c r="P99" s="264">
        <v>0.05</v>
      </c>
      <c r="Q99" s="265">
        <v>0.05</v>
      </c>
    </row>
    <row r="100" spans="1:17" ht="15.75" customHeight="1" x14ac:dyDescent="0.25">
      <c r="A100" s="257" t="s">
        <v>327</v>
      </c>
      <c r="B100" s="259" t="s">
        <v>184</v>
      </c>
      <c r="C100" s="259"/>
      <c r="D100" s="259"/>
      <c r="E100" s="259"/>
      <c r="F100" s="259"/>
      <c r="G100" s="263">
        <v>7.0000000000000007E-2</v>
      </c>
      <c r="H100" s="266">
        <v>7.0000000000000007E-2</v>
      </c>
      <c r="I100" s="266">
        <v>0.06</v>
      </c>
      <c r="J100" s="266">
        <v>0.06</v>
      </c>
      <c r="K100" s="266">
        <v>0.05</v>
      </c>
      <c r="L100" s="266">
        <v>0.05</v>
      </c>
      <c r="M100" s="266">
        <v>0.05</v>
      </c>
      <c r="N100" s="266">
        <v>0.04</v>
      </c>
      <c r="O100" s="266">
        <v>0.04</v>
      </c>
      <c r="P100" s="266">
        <v>0.04</v>
      </c>
      <c r="Q100" s="265">
        <v>0.04</v>
      </c>
    </row>
    <row r="101" spans="1:17" ht="15.75" customHeight="1" x14ac:dyDescent="0.25">
      <c r="A101" s="257" t="s">
        <v>328</v>
      </c>
      <c r="B101" s="259" t="s">
        <v>184</v>
      </c>
      <c r="C101" s="259"/>
      <c r="D101" s="259"/>
      <c r="E101" s="259"/>
      <c r="F101" s="259"/>
      <c r="G101" s="263">
        <v>0.09</v>
      </c>
      <c r="H101" s="261">
        <v>0.09</v>
      </c>
      <c r="I101" s="261">
        <v>0.08</v>
      </c>
      <c r="J101" s="261">
        <v>0.08</v>
      </c>
      <c r="K101" s="261">
        <v>7.0000000000000007E-2</v>
      </c>
      <c r="L101" s="261">
        <v>7.0000000000000007E-2</v>
      </c>
      <c r="M101" s="261">
        <v>0.06</v>
      </c>
      <c r="N101" s="261">
        <v>0.06</v>
      </c>
      <c r="O101" s="261">
        <v>0.06</v>
      </c>
      <c r="P101" s="261">
        <v>0.06</v>
      </c>
      <c r="Q101" s="265">
        <v>0.06</v>
      </c>
    </row>
    <row r="102" spans="1:17" ht="15.75" customHeight="1" x14ac:dyDescent="0.25">
      <c r="A102" s="257" t="s">
        <v>338</v>
      </c>
      <c r="B102" s="301" t="s">
        <v>184</v>
      </c>
      <c r="C102" s="258"/>
      <c r="D102" s="258"/>
      <c r="E102" s="258"/>
      <c r="F102" s="258"/>
      <c r="G102" s="302">
        <v>0</v>
      </c>
      <c r="H102" s="303">
        <v>0</v>
      </c>
      <c r="I102" s="303">
        <v>0.1</v>
      </c>
      <c r="J102" s="303">
        <v>0.18</v>
      </c>
      <c r="K102" s="303">
        <v>0.22</v>
      </c>
      <c r="L102" s="303">
        <v>0.252</v>
      </c>
      <c r="M102" s="303">
        <v>0.252</v>
      </c>
      <c r="N102" s="303">
        <v>0.252</v>
      </c>
      <c r="O102" s="303">
        <v>0.252</v>
      </c>
      <c r="P102" s="303">
        <v>0.252</v>
      </c>
      <c r="Q102" s="304">
        <v>0.252</v>
      </c>
    </row>
    <row r="103" spans="1:17" ht="15.75" customHeight="1" x14ac:dyDescent="0.25">
      <c r="A103" s="257" t="s">
        <v>327</v>
      </c>
      <c r="B103" s="259" t="s">
        <v>184</v>
      </c>
      <c r="C103" s="259"/>
      <c r="D103" s="259"/>
      <c r="E103" s="259"/>
      <c r="F103" s="259"/>
      <c r="G103" s="260">
        <v>0</v>
      </c>
      <c r="H103" s="261">
        <v>0</v>
      </c>
      <c r="I103" s="261">
        <v>0.08</v>
      </c>
      <c r="J103" s="261">
        <v>0.15</v>
      </c>
      <c r="K103" s="261">
        <v>0.2</v>
      </c>
      <c r="L103" s="261">
        <v>0.252</v>
      </c>
      <c r="M103" s="261">
        <v>0.252</v>
      </c>
      <c r="N103" s="261">
        <v>0.252</v>
      </c>
      <c r="O103" s="261">
        <v>0.252</v>
      </c>
      <c r="P103" s="261">
        <v>0.252</v>
      </c>
      <c r="Q103" s="262">
        <v>0.252</v>
      </c>
    </row>
    <row r="104" spans="1:17" ht="15.75" customHeight="1" x14ac:dyDescent="0.25">
      <c r="A104" s="257" t="s">
        <v>328</v>
      </c>
      <c r="B104" s="259" t="s">
        <v>184</v>
      </c>
      <c r="C104" s="259"/>
      <c r="D104" s="259"/>
      <c r="E104" s="259"/>
      <c r="F104" s="259"/>
      <c r="G104" s="263">
        <v>0</v>
      </c>
      <c r="H104" s="264">
        <v>0</v>
      </c>
      <c r="I104" s="264">
        <v>0.1</v>
      </c>
      <c r="J104" s="264">
        <v>0.18</v>
      </c>
      <c r="K104" s="264">
        <v>0.22</v>
      </c>
      <c r="L104" s="264">
        <v>0.252</v>
      </c>
      <c r="M104" s="264">
        <v>0.252</v>
      </c>
      <c r="N104" s="264">
        <v>0.252</v>
      </c>
      <c r="O104" s="264">
        <v>0.252</v>
      </c>
      <c r="P104" s="264">
        <v>0.252</v>
      </c>
      <c r="Q104" s="265">
        <v>0.252</v>
      </c>
    </row>
    <row r="105" spans="1:17" ht="15.75" customHeight="1" x14ac:dyDescent="0.25">
      <c r="A105" s="257" t="s">
        <v>339</v>
      </c>
      <c r="B105" s="259" t="s">
        <v>184</v>
      </c>
      <c r="C105" s="259"/>
      <c r="D105" s="259"/>
      <c r="E105" s="259"/>
      <c r="F105" s="259"/>
      <c r="G105" s="263">
        <v>4.4999999999999998E-2</v>
      </c>
      <c r="H105" s="264">
        <v>3.7999999999999999E-2</v>
      </c>
      <c r="I105" s="264">
        <v>3.2000000000000001E-2</v>
      </c>
      <c r="J105" s="264">
        <v>2.7E-2</v>
      </c>
      <c r="K105" s="264">
        <v>2.3E-2</v>
      </c>
      <c r="L105" s="264">
        <v>0.02</v>
      </c>
      <c r="M105" s="264">
        <v>1.7999999999999999E-2</v>
      </c>
      <c r="N105" s="264">
        <v>1.6E-2</v>
      </c>
      <c r="O105" s="264">
        <v>1.4E-2</v>
      </c>
      <c r="P105" s="264">
        <v>1.2E-2</v>
      </c>
      <c r="Q105" s="265">
        <v>0.01</v>
      </c>
    </row>
    <row r="106" spans="1:17" ht="15.75" customHeight="1" x14ac:dyDescent="0.25">
      <c r="A106" s="257" t="s">
        <v>327</v>
      </c>
      <c r="B106" s="259" t="s">
        <v>184</v>
      </c>
      <c r="C106" s="259"/>
      <c r="D106" s="259"/>
      <c r="E106" s="259"/>
      <c r="F106" s="259"/>
      <c r="G106" s="263">
        <v>0.04</v>
      </c>
      <c r="H106" s="264">
        <v>3.5000000000000003E-2</v>
      </c>
      <c r="I106" s="264">
        <v>0.03</v>
      </c>
      <c r="J106" s="264">
        <v>2.5000000000000001E-2</v>
      </c>
      <c r="K106" s="264">
        <v>2.1999999999999999E-2</v>
      </c>
      <c r="L106" s="264">
        <v>0.02</v>
      </c>
      <c r="M106" s="264">
        <v>1.7999999999999999E-2</v>
      </c>
      <c r="N106" s="264">
        <v>1.6E-2</v>
      </c>
      <c r="O106" s="264">
        <v>1.4E-2</v>
      </c>
      <c r="P106" s="264">
        <v>1.2E-2</v>
      </c>
      <c r="Q106" s="265">
        <v>0.01</v>
      </c>
    </row>
    <row r="107" spans="1:17" ht="15.75" customHeight="1" x14ac:dyDescent="0.25">
      <c r="A107" s="257" t="s">
        <v>328</v>
      </c>
      <c r="B107" s="259" t="s">
        <v>184</v>
      </c>
      <c r="C107" s="259"/>
      <c r="D107" s="259"/>
      <c r="E107" s="259"/>
      <c r="F107" s="259"/>
      <c r="G107" s="263">
        <v>0.05</v>
      </c>
      <c r="H107" s="264">
        <v>0.04</v>
      </c>
      <c r="I107" s="264">
        <v>3.3000000000000002E-2</v>
      </c>
      <c r="J107" s="264">
        <v>2.7E-2</v>
      </c>
      <c r="K107" s="264">
        <v>2.3E-2</v>
      </c>
      <c r="L107" s="264">
        <v>0.02</v>
      </c>
      <c r="M107" s="264">
        <v>1.7999999999999999E-2</v>
      </c>
      <c r="N107" s="264">
        <v>1.6E-2</v>
      </c>
      <c r="O107" s="264">
        <v>1.4E-2</v>
      </c>
      <c r="P107" s="264">
        <v>1.2E-2</v>
      </c>
      <c r="Q107" s="265">
        <v>0.01</v>
      </c>
    </row>
    <row r="108" spans="1:17" ht="15.75" customHeight="1" x14ac:dyDescent="0.25">
      <c r="A108" s="257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</row>
    <row r="109" spans="1:17" ht="15.75" customHeight="1" x14ac:dyDescent="0.25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</row>
    <row r="110" spans="1:17" ht="15.75" customHeight="1" x14ac:dyDescent="0.25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</row>
    <row r="111" spans="1:17" ht="15.75" customHeight="1" x14ac:dyDescent="0.25">
      <c r="A111" s="257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</row>
    <row r="112" spans="1:17" ht="15.75" customHeight="1" x14ac:dyDescent="0.25">
      <c r="A112" s="257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</row>
    <row r="113" spans="1:17" ht="15.75" customHeight="1" x14ac:dyDescent="0.25">
      <c r="A113" s="257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</row>
    <row r="114" spans="1:17" ht="15.75" customHeight="1" x14ac:dyDescent="0.25">
      <c r="A114" s="257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</row>
    <row r="115" spans="1:17" ht="15.75" customHeight="1" x14ac:dyDescent="0.25">
      <c r="A115" s="257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</row>
    <row r="116" spans="1:17" ht="15.75" customHeight="1" x14ac:dyDescent="0.25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</row>
    <row r="117" spans="1:17" ht="15.75" customHeight="1" x14ac:dyDescent="0.25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</row>
    <row r="118" spans="1:17" ht="15.75" customHeight="1" x14ac:dyDescent="0.25">
      <c r="A118" s="257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</row>
    <row r="119" spans="1:17" ht="15.75" customHeight="1" x14ac:dyDescent="0.25">
      <c r="A119" s="257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</row>
    <row r="120" spans="1:17" ht="15.75" customHeight="1" x14ac:dyDescent="0.25">
      <c r="A120" s="257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</row>
    <row r="121" spans="1:17" ht="15.75" customHeight="1" x14ac:dyDescent="0.25">
      <c r="A121" s="257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</row>
    <row r="122" spans="1:17" ht="15.75" customHeight="1" x14ac:dyDescent="0.25">
      <c r="A122" s="257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</row>
    <row r="123" spans="1:17" ht="15.75" customHeight="1" x14ac:dyDescent="0.25">
      <c r="A123" s="257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</row>
  </sheetData>
  <dataValidations count="1">
    <dataValidation type="list" allowBlank="1" showInputMessage="1" showErrorMessage="1" sqref="T6" xr:uid="{C12289B0-569C-4CC7-83B2-2A29E4063FC1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6D4E-1371-4E63-B77D-E5A59C413CF7}">
  <sheetPr>
    <tabColor rgb="FFFF0000"/>
  </sheetPr>
  <dimension ref="A1:N156"/>
  <sheetViews>
    <sheetView showGridLines="0" zoomScale="95" workbookViewId="0">
      <pane xSplit="3" ySplit="5" topLeftCell="D75" activePane="bottomRight" state="frozen"/>
      <selection pane="topRight" activeCell="D1" sqref="D1"/>
      <selection pane="bottomLeft" activeCell="A5" sqref="A5"/>
      <selection pane="bottomRight" activeCell="D37" sqref="D37"/>
    </sheetView>
  </sheetViews>
  <sheetFormatPr defaultRowHeight="15.75" customHeight="1" x14ac:dyDescent="0.25"/>
  <cols>
    <col min="1" max="1" width="35.44140625" style="19" customWidth="1"/>
    <col min="2" max="2" width="7.44140625" style="19" customWidth="1"/>
    <col min="3" max="3" width="9.77734375" style="19" bestFit="1" customWidth="1"/>
    <col min="4" max="4" width="11.77734375" style="19" customWidth="1"/>
    <col min="5" max="6" width="9.6640625" style="19" bestFit="1" customWidth="1"/>
    <col min="7" max="14" width="11.21875" style="19" bestFit="1" customWidth="1"/>
    <col min="15" max="16384" width="8.88671875" style="19"/>
  </cols>
  <sheetData>
    <row r="1" spans="1:14" ht="30.75" customHeight="1" x14ac:dyDescent="0.3">
      <c r="A1" s="131" t="s">
        <v>276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15.75" customHeight="1" x14ac:dyDescent="0.25">
      <c r="A2" s="133" t="s">
        <v>277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 spans="1:14" ht="21.95" customHeight="1" x14ac:dyDescent="0.25">
      <c r="A3" s="134" t="s">
        <v>322</v>
      </c>
      <c r="B3" s="135" t="str">
        <f>Assumptions!T7</f>
        <v>Optimistic Case</v>
      </c>
      <c r="C3" s="135"/>
      <c r="D3" s="136" t="s">
        <v>323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</row>
    <row r="5" spans="1:14" ht="15.75" customHeight="1" x14ac:dyDescent="0.25">
      <c r="A5" s="128" t="s">
        <v>0</v>
      </c>
      <c r="B5" s="129" t="s">
        <v>157</v>
      </c>
      <c r="C5" s="129" t="s">
        <v>161</v>
      </c>
      <c r="D5" s="129" t="s">
        <v>162</v>
      </c>
      <c r="E5" s="129" t="s">
        <v>163</v>
      </c>
      <c r="F5" s="129" t="s">
        <v>164</v>
      </c>
      <c r="G5" s="129" t="s">
        <v>165</v>
      </c>
      <c r="H5" s="129" t="s">
        <v>166</v>
      </c>
      <c r="I5" s="129" t="s">
        <v>167</v>
      </c>
      <c r="J5" s="129" t="s">
        <v>168</v>
      </c>
      <c r="K5" s="129" t="s">
        <v>169</v>
      </c>
      <c r="L5" s="129" t="s">
        <v>170</v>
      </c>
      <c r="M5" s="129" t="s">
        <v>171</v>
      </c>
      <c r="N5" s="129" t="s">
        <v>172</v>
      </c>
    </row>
    <row r="6" spans="1:14" ht="20.100000000000001" customHeight="1" x14ac:dyDescent="0.25">
      <c r="A6" s="126" t="s">
        <v>269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8" spans="1:14" ht="15.75" customHeight="1" x14ac:dyDescent="0.25">
      <c r="A8" s="137" t="s">
        <v>215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</row>
    <row r="9" spans="1:14" ht="15.75" customHeight="1" x14ac:dyDescent="0.25">
      <c r="A9" s="26" t="s">
        <v>200</v>
      </c>
      <c r="B9" s="138" t="s">
        <v>8</v>
      </c>
      <c r="C9" s="19">
        <f>DCF!F7</f>
        <v>8080</v>
      </c>
      <c r="D9" s="19">
        <f>C9*(1+Assumptions!G56)</f>
        <v>10100</v>
      </c>
      <c r="E9" s="19">
        <f>D9*(1+Assumptions!H56)</f>
        <v>12322</v>
      </c>
      <c r="F9" s="19">
        <f>E9*(1+Assumptions!I56)</f>
        <v>14663.179999999998</v>
      </c>
      <c r="G9" s="19">
        <f>F9*(1+Assumptions!J56)</f>
        <v>17155.920599999998</v>
      </c>
      <c r="H9" s="19">
        <f>G9*(1+Assumptions!K56)</f>
        <v>19729.308689999994</v>
      </c>
      <c r="I9" s="19">
        <f>H9*(1+Assumptions!L56)</f>
        <v>22294.11881969999</v>
      </c>
      <c r="J9" s="19">
        <f>I9*(1+Assumptions!M56)</f>
        <v>24969.41307806399</v>
      </c>
      <c r="K9" s="19">
        <f>J9*(1+Assumptions!N56)</f>
        <v>27716.04851665103</v>
      </c>
      <c r="L9" s="19">
        <f>K9*(1+Assumptions!O56)</f>
        <v>30487.653368316136</v>
      </c>
      <c r="M9" s="19">
        <f>L9*(1+Assumptions!P56)</f>
        <v>33231.542171464593</v>
      </c>
      <c r="N9" s="19">
        <f>M9*(1+Assumptions!Q56)</f>
        <v>34893.119280037827</v>
      </c>
    </row>
    <row r="10" spans="1:14" ht="15.75" customHeight="1" x14ac:dyDescent="0.25">
      <c r="A10" s="26" t="s">
        <v>201</v>
      </c>
      <c r="B10" s="138" t="s">
        <v>8</v>
      </c>
      <c r="C10" s="19">
        <f>DCF!F8</f>
        <v>6196</v>
      </c>
      <c r="D10" s="19">
        <f>C10*(1+Assumptions!G59)</f>
        <v>10223.4</v>
      </c>
      <c r="E10" s="19">
        <f>D10*(1+Assumptions!H59)</f>
        <v>15335.099999999999</v>
      </c>
      <c r="F10" s="19">
        <f>E10*(1+Assumptions!I59)</f>
        <v>21162.437999999995</v>
      </c>
      <c r="G10" s="19">
        <f>F10*(1+Assumptions!J59)</f>
        <v>27511.169399999995</v>
      </c>
      <c r="H10" s="19">
        <f>G10*(1+Assumptions!K59)</f>
        <v>34388.961749999995</v>
      </c>
      <c r="I10" s="19">
        <f>H10*(1+Assumptions!L59)</f>
        <v>41954.533334999993</v>
      </c>
      <c r="J10" s="19">
        <f>I10*(1+Assumptions!M59)</f>
        <v>49506.349335299987</v>
      </c>
      <c r="K10" s="19">
        <f>J10*(1+Assumptions!N59)</f>
        <v>56932.301735594978</v>
      </c>
      <c r="L10" s="19">
        <f>K10*(1+Assumptions!O59)</f>
        <v>63764.17794386638</v>
      </c>
      <c r="M10" s="19">
        <f>L10*(1+Assumptions!P59)</f>
        <v>70140.595738253018</v>
      </c>
      <c r="N10" s="19">
        <f>M10*(1+Assumptions!Q59)</f>
        <v>73647.625525165669</v>
      </c>
    </row>
    <row r="11" spans="1:14" ht="15.75" customHeight="1" x14ac:dyDescent="0.25">
      <c r="A11" s="26" t="s">
        <v>202</v>
      </c>
      <c r="B11" s="138" t="s">
        <v>8</v>
      </c>
      <c r="C11" s="19">
        <f>DCF!F9</f>
        <v>5206</v>
      </c>
      <c r="D11" s="19">
        <f>C11*(1+Assumptions!G62)</f>
        <v>10412</v>
      </c>
      <c r="E11" s="19">
        <f>D11*(1+Assumptions!H62)</f>
        <v>18221</v>
      </c>
      <c r="F11" s="19">
        <f>E11*(1+Assumptions!I62)</f>
        <v>28242.55</v>
      </c>
      <c r="G11" s="19">
        <f>F11*(1+Assumptions!J62)</f>
        <v>39539.57</v>
      </c>
      <c r="H11" s="19">
        <f>G11*(1+Assumptions!K62)</f>
        <v>51401.440999999999</v>
      </c>
      <c r="I11" s="19">
        <f>H11*(1+Assumptions!L62)</f>
        <v>64251.801249999997</v>
      </c>
      <c r="J11" s="19">
        <f>I11*(1+Assumptions!M62)</f>
        <v>77102.161499999987</v>
      </c>
      <c r="K11" s="19">
        <f>J11*(1+Assumptions!N62)</f>
        <v>89438.507339999982</v>
      </c>
      <c r="L11" s="19">
        <f>K11*(1+Assumptions!O62)</f>
        <v>101065.51329419998</v>
      </c>
      <c r="M11" s="19">
        <f>L11*(1+Assumptions!P62)</f>
        <v>111172.06462361998</v>
      </c>
      <c r="N11" s="19">
        <f>M11*(1+Assumptions!Q62)</f>
        <v>116730.66785480098</v>
      </c>
    </row>
    <row r="12" spans="1:14" ht="15.75" customHeight="1" x14ac:dyDescent="0.25">
      <c r="A12" s="26" t="s">
        <v>203</v>
      </c>
      <c r="B12" s="138" t="s">
        <v>8</v>
      </c>
      <c r="C12" s="19">
        <f>DCF!F10</f>
        <v>737</v>
      </c>
      <c r="D12" s="19">
        <f>C12*(1+Assumptions!G65)</f>
        <v>1474</v>
      </c>
      <c r="E12" s="19">
        <f>D12*(1+Assumptions!H65)</f>
        <v>2505.7999999999997</v>
      </c>
      <c r="F12" s="19">
        <f>E12*(1+Assumptions!I65)</f>
        <v>3758.7</v>
      </c>
      <c r="G12" s="19">
        <f>F12*(1+Assumptions!J65)</f>
        <v>5074.2449999999999</v>
      </c>
      <c r="H12" s="19">
        <f>G12*(1+Assumptions!K65)</f>
        <v>6342.8062499999996</v>
      </c>
      <c r="I12" s="19">
        <f>H12*(1+Assumptions!L65)</f>
        <v>7611.3674999999994</v>
      </c>
      <c r="J12" s="19">
        <f>I12*(1+Assumptions!M65)</f>
        <v>8753.0726249999989</v>
      </c>
      <c r="K12" s="19">
        <f>J12*(1+Assumptions!N65)</f>
        <v>9803.4413399999994</v>
      </c>
      <c r="L12" s="19">
        <f>K12*(1+Assumptions!O65)</f>
        <v>10783.785474</v>
      </c>
      <c r="M12" s="19">
        <f>L12*(1+Assumptions!P65)</f>
        <v>11646.48831192</v>
      </c>
      <c r="N12" s="19">
        <f>M12*(1+Assumptions!Q65)</f>
        <v>12228.812727516</v>
      </c>
    </row>
    <row r="13" spans="1:14" ht="15.75" customHeight="1" x14ac:dyDescent="0.25">
      <c r="A13" s="26" t="s">
        <v>204</v>
      </c>
      <c r="B13" s="138" t="s">
        <v>8</v>
      </c>
      <c r="C13" s="19">
        <f>DCF!F11</f>
        <v>24</v>
      </c>
      <c r="D13" s="19">
        <f>C13*(1+Assumptions!G68)</f>
        <v>26.400000000000002</v>
      </c>
      <c r="E13" s="19">
        <f>D13*(1+Assumptions!H68)</f>
        <v>29.040000000000006</v>
      </c>
      <c r="F13" s="19">
        <f>E13*(1+Assumptions!I68)</f>
        <v>31.94400000000001</v>
      </c>
      <c r="G13" s="19">
        <f>F13*(1+Assumptions!J68)</f>
        <v>34.499520000000011</v>
      </c>
      <c r="H13" s="19">
        <f>G13*(1+Assumptions!K68)</f>
        <v>37.259481600000015</v>
      </c>
      <c r="I13" s="19">
        <f>H13*(1+Assumptions!L68)</f>
        <v>39.122455680000016</v>
      </c>
      <c r="J13" s="19">
        <f>I13*(1+Assumptions!M68)</f>
        <v>41.078578464000017</v>
      </c>
      <c r="K13" s="19">
        <f>J13*(1+Assumptions!N68)</f>
        <v>43.132507387200022</v>
      </c>
      <c r="L13" s="19">
        <f>K13*(1+Assumptions!O68)</f>
        <v>45.289132756560022</v>
      </c>
      <c r="M13" s="19">
        <f>L13*(1+Assumptions!P68)</f>
        <v>47.553589394388027</v>
      </c>
      <c r="N13" s="19">
        <f>M13*(1+Assumptions!Q68)</f>
        <v>49.93126886410743</v>
      </c>
    </row>
    <row r="14" spans="1:14" ht="15.75" customHeight="1" x14ac:dyDescent="0.25">
      <c r="A14" s="20" t="s">
        <v>216</v>
      </c>
      <c r="B14" s="139" t="s">
        <v>8</v>
      </c>
      <c r="C14" s="20">
        <f t="shared" ref="C14:N14" si="0">SUM(C9:C13)</f>
        <v>20243</v>
      </c>
      <c r="D14" s="20">
        <f t="shared" si="0"/>
        <v>32235.800000000003</v>
      </c>
      <c r="E14" s="20">
        <f t="shared" si="0"/>
        <v>48412.94</v>
      </c>
      <c r="F14" s="20">
        <f t="shared" si="0"/>
        <v>67858.811999999991</v>
      </c>
      <c r="G14" s="20">
        <f t="shared" si="0"/>
        <v>89315.404519999996</v>
      </c>
      <c r="H14" s="20">
        <f t="shared" si="0"/>
        <v>111899.77717159998</v>
      </c>
      <c r="I14" s="20">
        <f t="shared" si="0"/>
        <v>136150.94336037996</v>
      </c>
      <c r="J14" s="20">
        <f t="shared" si="0"/>
        <v>160372.07511682794</v>
      </c>
      <c r="K14" s="20">
        <f t="shared" si="0"/>
        <v>183933.43143963316</v>
      </c>
      <c r="L14" s="20">
        <f t="shared" si="0"/>
        <v>206146.41921313904</v>
      </c>
      <c r="M14" s="20">
        <f t="shared" si="0"/>
        <v>226238.24443465195</v>
      </c>
      <c r="N14" s="20">
        <f t="shared" si="0"/>
        <v>237550.15665638456</v>
      </c>
    </row>
    <row r="15" spans="1:14" ht="15.75" customHeight="1" x14ac:dyDescent="0.25">
      <c r="A15" s="140" t="s">
        <v>217</v>
      </c>
      <c r="B15" s="138" t="s">
        <v>184</v>
      </c>
      <c r="D15" s="19">
        <f t="shared" ref="D15:N15" si="1">D14/C14-1</f>
        <v>0.59244183174430676</v>
      </c>
      <c r="E15" s="19">
        <f t="shared" si="1"/>
        <v>0.50183770838632813</v>
      </c>
      <c r="F15" s="19">
        <f t="shared" si="1"/>
        <v>0.40166682709209534</v>
      </c>
      <c r="G15" s="19">
        <f t="shared" si="1"/>
        <v>0.31619463836177997</v>
      </c>
      <c r="H15" s="19">
        <f t="shared" si="1"/>
        <v>0.25286088970847986</v>
      </c>
      <c r="I15" s="19">
        <f t="shared" si="1"/>
        <v>0.21672220268669928</v>
      </c>
      <c r="J15" s="19">
        <f t="shared" si="1"/>
        <v>0.17789911078571596</v>
      </c>
      <c r="K15" s="19">
        <f t="shared" si="1"/>
        <v>0.14691682642156523</v>
      </c>
      <c r="L15" s="19">
        <f t="shared" si="1"/>
        <v>0.12076645120817076</v>
      </c>
      <c r="M15" s="19">
        <f t="shared" si="1"/>
        <v>9.7463857476658644E-2</v>
      </c>
      <c r="N15" s="19">
        <f t="shared" si="1"/>
        <v>5.0000000000000044E-2</v>
      </c>
    </row>
    <row r="17" spans="1:14" ht="15.75" customHeight="1" x14ac:dyDescent="0.25">
      <c r="A17" s="137" t="s">
        <v>218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</row>
    <row r="18" spans="1:14" ht="15.75" customHeight="1" x14ac:dyDescent="0.25">
      <c r="A18" s="26" t="s">
        <v>200</v>
      </c>
      <c r="B18" s="138" t="s">
        <v>8</v>
      </c>
      <c r="D18" s="19">
        <f>D9*Assumptions!G73</f>
        <v>2121</v>
      </c>
      <c r="E18" s="19">
        <f>E9*Assumptions!H73</f>
        <v>2710.84</v>
      </c>
      <c r="F18" s="19">
        <f>F9*Assumptions!I73</f>
        <v>3372.5313999999998</v>
      </c>
      <c r="G18" s="19">
        <f>G9*Assumptions!J73</f>
        <v>4117.4209439999995</v>
      </c>
      <c r="H18" s="19">
        <f>H9*Assumptions!K73</f>
        <v>4735.0340855999984</v>
      </c>
      <c r="I18" s="19">
        <f>I9*Assumptions!L73</f>
        <v>5573.5297049249975</v>
      </c>
      <c r="J18" s="19">
        <f>J9*Assumptions!M73</f>
        <v>6242.3532695159975</v>
      </c>
      <c r="K18" s="19">
        <f>K9*Assumptions!N73</f>
        <v>6929.0121291627574</v>
      </c>
      <c r="L18" s="19">
        <f>L9*Assumptions!O73</f>
        <v>7621.913342079034</v>
      </c>
      <c r="M18" s="19">
        <f>M9*Assumptions!P73</f>
        <v>8307.8855428661482</v>
      </c>
      <c r="N18" s="19">
        <f>N9*Assumptions!Q73</f>
        <v>8723.2798200094567</v>
      </c>
    </row>
    <row r="19" spans="1:14" ht="15.75" customHeight="1" x14ac:dyDescent="0.25">
      <c r="A19" s="26" t="s">
        <v>201</v>
      </c>
      <c r="B19" s="138" t="s">
        <v>8</v>
      </c>
      <c r="D19" s="19">
        <f>D10*Assumptions!G76</f>
        <v>102.23399999999999</v>
      </c>
      <c r="E19" s="19">
        <f>E10*Assumptions!H76</f>
        <v>306.702</v>
      </c>
      <c r="F19" s="19">
        <f>F10*Assumptions!I76</f>
        <v>634.87313999999981</v>
      </c>
      <c r="G19" s="19">
        <f>G10*Assumptions!J76</f>
        <v>1100.4467759999998</v>
      </c>
      <c r="H19" s="19">
        <f>H10*Assumptions!K76</f>
        <v>1719.4480874999999</v>
      </c>
      <c r="I19" s="19">
        <f>I10*Assumptions!L76</f>
        <v>2097.7266667499998</v>
      </c>
      <c r="J19" s="19">
        <f>J10*Assumptions!M76</f>
        <v>2475.3174667649996</v>
      </c>
      <c r="K19" s="19">
        <f>K10*Assumptions!N76</f>
        <v>2846.6150867797492</v>
      </c>
      <c r="L19" s="19">
        <f>L10*Assumptions!O76</f>
        <v>3188.208897193319</v>
      </c>
      <c r="M19" s="19">
        <f>M10*Assumptions!P76</f>
        <v>3507.0297869126512</v>
      </c>
      <c r="N19" s="19">
        <f>N10*Assumptions!Q76</f>
        <v>3682.3812762582838</v>
      </c>
    </row>
    <row r="20" spans="1:14" ht="15.75" customHeight="1" x14ac:dyDescent="0.25">
      <c r="A20" s="26" t="s">
        <v>202</v>
      </c>
      <c r="B20" s="138" t="s">
        <v>8</v>
      </c>
      <c r="D20" s="19">
        <f>D11*Assumptions!G79</f>
        <v>208.24</v>
      </c>
      <c r="E20" s="19">
        <f>E11*Assumptions!H79</f>
        <v>911.05000000000007</v>
      </c>
      <c r="F20" s="19">
        <f>F11*Assumptions!I79</f>
        <v>2259.404</v>
      </c>
      <c r="G20" s="19">
        <f>G11*Assumptions!J79</f>
        <v>3953.9570000000003</v>
      </c>
      <c r="H20" s="19">
        <f>H11*Assumptions!K79</f>
        <v>6168.17292</v>
      </c>
      <c r="I20" s="19">
        <f>I11*Assumptions!L79</f>
        <v>8352.734162499999</v>
      </c>
      <c r="J20" s="19">
        <f>J11*Assumptions!M79</f>
        <v>10794.302609999999</v>
      </c>
      <c r="K20" s="19">
        <f>K11*Assumptions!N79</f>
        <v>13415.776100999998</v>
      </c>
      <c r="L20" s="19">
        <f>L11*Assumptions!O79</f>
        <v>15159.826994129995</v>
      </c>
      <c r="M20" s="19">
        <f>M11*Assumptions!P79</f>
        <v>16675.809693542997</v>
      </c>
      <c r="N20" s="19">
        <f>N11*Assumptions!Q79</f>
        <v>17509.600178220146</v>
      </c>
    </row>
    <row r="21" spans="1:14" ht="15.75" customHeight="1" x14ac:dyDescent="0.25">
      <c r="A21" s="26" t="s">
        <v>203</v>
      </c>
      <c r="B21" s="138" t="s">
        <v>8</v>
      </c>
      <c r="D21" s="19">
        <f>D12*Assumptions!G82</f>
        <v>-73.7</v>
      </c>
      <c r="E21" s="19">
        <f>E12*Assumptions!H82</f>
        <v>-50.115999999999993</v>
      </c>
      <c r="F21" s="19">
        <f>F12*Assumptions!I82</f>
        <v>75.173999999999992</v>
      </c>
      <c r="G21" s="19">
        <f>G12*Assumptions!J82</f>
        <v>253.71225000000001</v>
      </c>
      <c r="H21" s="19">
        <f>H12*Assumptions!K82</f>
        <v>507.42449999999997</v>
      </c>
      <c r="I21" s="19">
        <f>I12*Assumptions!L82</f>
        <v>761.13675000000001</v>
      </c>
      <c r="J21" s="19">
        <f>J12*Assumptions!M82</f>
        <v>1050.3687149999998</v>
      </c>
      <c r="K21" s="19">
        <f>K12*Assumptions!N82</f>
        <v>1372.4817876</v>
      </c>
      <c r="L21" s="19">
        <f>L12*Assumptions!O82</f>
        <v>1617.5678210999999</v>
      </c>
      <c r="M21" s="19">
        <f>M12*Assumptions!P82</f>
        <v>1746.9732467880001</v>
      </c>
      <c r="N21" s="19">
        <f>N12*Assumptions!Q82</f>
        <v>1834.3219091274</v>
      </c>
    </row>
    <row r="22" spans="1:14" ht="15.75" customHeight="1" x14ac:dyDescent="0.25">
      <c r="A22" s="26" t="s">
        <v>204</v>
      </c>
      <c r="B22" s="138" t="s">
        <v>8</v>
      </c>
      <c r="D22" s="19">
        <f>D13*Assumptions!G85</f>
        <v>-7.92</v>
      </c>
      <c r="E22" s="19">
        <f>E13*Assumptions!H85</f>
        <v>-5.8080000000000016</v>
      </c>
      <c r="F22" s="19">
        <f>F13*Assumptions!I85</f>
        <v>-3.1944000000000012</v>
      </c>
      <c r="G22" s="19">
        <f>G13*Assumptions!J85</f>
        <v>0</v>
      </c>
      <c r="H22" s="19">
        <f>H13*Assumptions!K85</f>
        <v>1.8629740800000008</v>
      </c>
      <c r="I22" s="19">
        <f>I13*Assumptions!L85</f>
        <v>1.9561227840000008</v>
      </c>
      <c r="J22" s="19">
        <f>J13*Assumptions!M85</f>
        <v>2.0539289232000009</v>
      </c>
      <c r="K22" s="19">
        <f>K13*Assumptions!N85</f>
        <v>2.1566253693600013</v>
      </c>
      <c r="L22" s="19">
        <f>L13*Assumptions!O85</f>
        <v>2.2644566378280011</v>
      </c>
      <c r="M22" s="19">
        <f>M13*Assumptions!P85</f>
        <v>2.3776794697194013</v>
      </c>
      <c r="N22" s="19">
        <f>N13*Assumptions!Q85</f>
        <v>2.4965634432053716</v>
      </c>
    </row>
    <row r="23" spans="1:14" ht="15.75" customHeight="1" x14ac:dyDescent="0.25">
      <c r="A23" s="20" t="s">
        <v>219</v>
      </c>
      <c r="B23" s="139" t="s">
        <v>8</v>
      </c>
      <c r="C23" s="20"/>
      <c r="D23" s="20">
        <f t="shared" ref="D23:N23" si="2">SUM(D18:D22)</f>
        <v>2349.8540000000003</v>
      </c>
      <c r="E23" s="20">
        <f t="shared" si="2"/>
        <v>3872.6680000000006</v>
      </c>
      <c r="F23" s="20">
        <f t="shared" si="2"/>
        <v>6338.7881399999997</v>
      </c>
      <c r="G23" s="20">
        <f t="shared" si="2"/>
        <v>9425.536970000001</v>
      </c>
      <c r="H23" s="20">
        <f t="shared" si="2"/>
        <v>13131.942567179998</v>
      </c>
      <c r="I23" s="20">
        <f t="shared" si="2"/>
        <v>16787.083406958995</v>
      </c>
      <c r="J23" s="20">
        <f t="shared" si="2"/>
        <v>20564.395990204197</v>
      </c>
      <c r="K23" s="20">
        <f t="shared" si="2"/>
        <v>24566.041729911864</v>
      </c>
      <c r="L23" s="20">
        <f t="shared" si="2"/>
        <v>27589.78151114018</v>
      </c>
      <c r="M23" s="20">
        <f t="shared" si="2"/>
        <v>30240.075949579514</v>
      </c>
      <c r="N23" s="20">
        <f t="shared" si="2"/>
        <v>31752.079747058491</v>
      </c>
    </row>
    <row r="24" spans="1:14" ht="15.75" customHeight="1" x14ac:dyDescent="0.25">
      <c r="A24" s="140" t="s">
        <v>220</v>
      </c>
      <c r="B24" s="138" t="s">
        <v>184</v>
      </c>
      <c r="D24" s="19">
        <f t="shared" ref="D24:N24" si="3">D23/D14</f>
        <v>7.2895786671960991E-2</v>
      </c>
      <c r="E24" s="19">
        <f t="shared" si="3"/>
        <v>7.99924152509639E-2</v>
      </c>
      <c r="F24" s="19">
        <f t="shared" si="3"/>
        <v>9.3411422233563426E-2</v>
      </c>
      <c r="G24" s="19">
        <f t="shared" si="3"/>
        <v>0.10553092180072232</v>
      </c>
      <c r="H24" s="19">
        <f t="shared" si="3"/>
        <v>0.11735450149326006</v>
      </c>
      <c r="I24" s="19">
        <f t="shared" si="3"/>
        <v>0.12329759157470555</v>
      </c>
      <c r="J24" s="19">
        <f t="shared" si="3"/>
        <v>0.12822928165781627</v>
      </c>
      <c r="K24" s="19">
        <f t="shared" si="3"/>
        <v>0.13355941623899092</v>
      </c>
      <c r="L24" s="19">
        <f t="shared" si="3"/>
        <v>0.1338358513160228</v>
      </c>
      <c r="M24" s="19">
        <f t="shared" si="3"/>
        <v>0.13366473924489033</v>
      </c>
      <c r="N24" s="19">
        <f t="shared" si="3"/>
        <v>0.13366473924489033</v>
      </c>
    </row>
    <row r="26" spans="1:14" ht="15.75" customHeight="1" x14ac:dyDescent="0.25">
      <c r="A26" s="26" t="s">
        <v>222</v>
      </c>
      <c r="B26" s="138" t="s">
        <v>8</v>
      </c>
      <c r="D26" s="19">
        <f>-D14*Assumptions!G90</f>
        <v>-1128.2530000000002</v>
      </c>
      <c r="E26" s="19">
        <f>-E14*Assumptions!H90</f>
        <v>-1452.3882000000001</v>
      </c>
      <c r="F26" s="19">
        <f>-F14*Assumptions!I90</f>
        <v>-1832.1879239999998</v>
      </c>
      <c r="G26" s="19">
        <f>-G14*Assumptions!J90</f>
        <v>-2232.8851129999998</v>
      </c>
      <c r="H26" s="19">
        <f>-H14*Assumptions!K90</f>
        <v>-2461.7950977751993</v>
      </c>
      <c r="I26" s="19">
        <f>-I14*Assumptions!L90</f>
        <v>-2723.0188672075992</v>
      </c>
      <c r="J26" s="19">
        <f>-J14*Assumptions!M90</f>
        <v>-2886.6973521029026</v>
      </c>
      <c r="K26" s="19">
        <f>-K14*Assumptions!N90</f>
        <v>-3126.8683344737638</v>
      </c>
      <c r="L26" s="19">
        <f>-L14*Assumptions!O90</f>
        <v>-3092.1962881970858</v>
      </c>
      <c r="M26" s="19">
        <f>-M14*Assumptions!P90</f>
        <v>-3393.5736665197792</v>
      </c>
      <c r="N26" s="19">
        <f>-N14*Assumptions!Q90</f>
        <v>-3563.2523498457681</v>
      </c>
    </row>
    <row r="27" spans="1:14" ht="15.75" customHeight="1" x14ac:dyDescent="0.25">
      <c r="A27" s="141" t="s">
        <v>223</v>
      </c>
      <c r="B27" s="142" t="s">
        <v>8</v>
      </c>
      <c r="C27" s="141"/>
      <c r="D27" s="141">
        <f t="shared" ref="D27:N27" si="4">D23+D26</f>
        <v>1221.6010000000001</v>
      </c>
      <c r="E27" s="141">
        <f t="shared" si="4"/>
        <v>2420.2798000000003</v>
      </c>
      <c r="F27" s="141">
        <f t="shared" si="4"/>
        <v>4506.6002159999998</v>
      </c>
      <c r="G27" s="141">
        <f t="shared" si="4"/>
        <v>7192.6518570000007</v>
      </c>
      <c r="H27" s="141">
        <f t="shared" si="4"/>
        <v>10670.147469404799</v>
      </c>
      <c r="I27" s="141">
        <f t="shared" si="4"/>
        <v>14064.064539751394</v>
      </c>
      <c r="J27" s="141">
        <f t="shared" si="4"/>
        <v>17677.698638101294</v>
      </c>
      <c r="K27" s="141">
        <f t="shared" si="4"/>
        <v>21439.173395438098</v>
      </c>
      <c r="L27" s="141">
        <f t="shared" si="4"/>
        <v>24497.585222943093</v>
      </c>
      <c r="M27" s="141">
        <f t="shared" si="4"/>
        <v>26846.502283059734</v>
      </c>
      <c r="N27" s="141">
        <f t="shared" si="4"/>
        <v>28188.827397212724</v>
      </c>
    </row>
    <row r="28" spans="1:14" ht="15.75" customHeight="1" x14ac:dyDescent="0.25">
      <c r="A28" s="26" t="s">
        <v>224</v>
      </c>
      <c r="B28" s="138" t="s">
        <v>8</v>
      </c>
      <c r="D28" s="19">
        <f>-D14*Assumptions!G93</f>
        <v>-1386.1394</v>
      </c>
      <c r="E28" s="19">
        <f>-E14*Assumptions!H93</f>
        <v>-2033.3434800000002</v>
      </c>
      <c r="F28" s="19">
        <f>-F14*Assumptions!I93</f>
        <v>-2714.3524799999996</v>
      </c>
      <c r="G28" s="19">
        <f>-G14*Assumptions!J93</f>
        <v>-3393.9853717599999</v>
      </c>
      <c r="H28" s="19">
        <f>-H14*Assumptions!K93</f>
        <v>-4140.2917553491989</v>
      </c>
      <c r="I28" s="19">
        <f>-I14*Assumptions!L93</f>
        <v>-4901.433960973678</v>
      </c>
      <c r="J28" s="19">
        <f>-J14*Assumptions!M93</f>
        <v>-5613.0226290889786</v>
      </c>
      <c r="K28" s="19">
        <f>-K14*Assumptions!N93</f>
        <v>-6437.6701003871613</v>
      </c>
      <c r="L28" s="19">
        <f>-L14*Assumptions!O93</f>
        <v>-7215.1246724598668</v>
      </c>
      <c r="M28" s="19">
        <f>-M14*Assumptions!P93</f>
        <v>-7918.3385552128193</v>
      </c>
      <c r="N28" s="19">
        <f>-N14*Assumptions!Q93</f>
        <v>-8314.2554829734599</v>
      </c>
    </row>
    <row r="29" spans="1:14" ht="15.75" customHeight="1" x14ac:dyDescent="0.25">
      <c r="A29" s="20" t="s">
        <v>225</v>
      </c>
      <c r="B29" s="139" t="s">
        <v>8</v>
      </c>
      <c r="C29" s="20"/>
      <c r="D29" s="20">
        <f t="shared" ref="D29:N29" si="5">D27+D28</f>
        <v>-164.53839999999991</v>
      </c>
      <c r="E29" s="20">
        <f t="shared" si="5"/>
        <v>386.93632000000002</v>
      </c>
      <c r="F29" s="20">
        <f t="shared" si="5"/>
        <v>1792.2477360000003</v>
      </c>
      <c r="G29" s="20">
        <f t="shared" si="5"/>
        <v>3798.6664852400008</v>
      </c>
      <c r="H29" s="20">
        <f t="shared" si="5"/>
        <v>6529.8557140556004</v>
      </c>
      <c r="I29" s="20">
        <f t="shared" si="5"/>
        <v>9162.6305787777164</v>
      </c>
      <c r="J29" s="20">
        <f t="shared" si="5"/>
        <v>12064.676009012315</v>
      </c>
      <c r="K29" s="20">
        <f t="shared" si="5"/>
        <v>15001.503295050938</v>
      </c>
      <c r="L29" s="20">
        <f t="shared" si="5"/>
        <v>17282.460550483225</v>
      </c>
      <c r="M29" s="20">
        <f t="shared" si="5"/>
        <v>18928.163727846913</v>
      </c>
      <c r="N29" s="20">
        <f t="shared" si="5"/>
        <v>19874.571914239263</v>
      </c>
    </row>
    <row r="30" spans="1:14" ht="15.75" customHeight="1" x14ac:dyDescent="0.25">
      <c r="A30" s="140" t="s">
        <v>226</v>
      </c>
      <c r="B30" s="138" t="s">
        <v>184</v>
      </c>
      <c r="D30" s="19">
        <f t="shared" ref="D30:N30" si="6">D29/D14</f>
        <v>-5.104213328039009E-3</v>
      </c>
      <c r="E30" s="19">
        <f t="shared" si="6"/>
        <v>7.9924152509638947E-3</v>
      </c>
      <c r="F30" s="19">
        <f t="shared" si="6"/>
        <v>2.6411422233563426E-2</v>
      </c>
      <c r="G30" s="19">
        <f t="shared" si="6"/>
        <v>4.2530921800722321E-2</v>
      </c>
      <c r="H30" s="19">
        <f t="shared" si="6"/>
        <v>5.8354501493260068E-2</v>
      </c>
      <c r="I30" s="19">
        <f t="shared" si="6"/>
        <v>6.7297591574705537E-2</v>
      </c>
      <c r="J30" s="19">
        <f t="shared" si="6"/>
        <v>7.5229281657816255E-2</v>
      </c>
      <c r="K30" s="19">
        <f t="shared" si="6"/>
        <v>8.1559416238990906E-2</v>
      </c>
      <c r="L30" s="19">
        <f t="shared" si="6"/>
        <v>8.3835851316022766E-2</v>
      </c>
      <c r="M30" s="19">
        <f t="shared" si="6"/>
        <v>8.3664739244890318E-2</v>
      </c>
      <c r="N30" s="19">
        <f t="shared" si="6"/>
        <v>8.3664739244890332E-2</v>
      </c>
    </row>
    <row r="31" spans="1:14" ht="15.75" customHeight="1" x14ac:dyDescent="0.25">
      <c r="A31" s="26" t="s">
        <v>227</v>
      </c>
      <c r="B31" s="138" t="s">
        <v>8</v>
      </c>
      <c r="D31" s="19">
        <f>-MAX(D29,0)*Assumptions!G102</f>
        <v>0</v>
      </c>
      <c r="E31" s="19">
        <f>-MAX(E29,0)*Assumptions!H102</f>
        <v>0</v>
      </c>
      <c r="F31" s="19">
        <f>-MAX(F29,0)*Assumptions!I102</f>
        <v>-179.22477360000005</v>
      </c>
      <c r="G31" s="19">
        <f>-MAX(G29,0)*Assumptions!J102</f>
        <v>-683.75996734320017</v>
      </c>
      <c r="H31" s="19">
        <f>-MAX(H29,0)*Assumptions!K102</f>
        <v>-1436.568257092232</v>
      </c>
      <c r="I31" s="19">
        <f>-MAX(I29,0)*Assumptions!L102</f>
        <v>-2308.9829058519845</v>
      </c>
      <c r="J31" s="19">
        <f>-MAX(J29,0)*Assumptions!M102</f>
        <v>-3040.2983542711036</v>
      </c>
      <c r="K31" s="19">
        <f>-MAX(K29,0)*Assumptions!N102</f>
        <v>-3780.3788303528363</v>
      </c>
      <c r="L31" s="19">
        <f>-MAX(L29,0)*Assumptions!O102</f>
        <v>-4355.1800587217731</v>
      </c>
      <c r="M31" s="19">
        <f>-MAX(M29,0)*Assumptions!P102</f>
        <v>-4769.897259417422</v>
      </c>
      <c r="N31" s="19">
        <f>-MAX(N29,0)*Assumptions!Q102</f>
        <v>-5008.3921223882944</v>
      </c>
    </row>
    <row r="32" spans="1:14" ht="15.75" customHeight="1" x14ac:dyDescent="0.25">
      <c r="A32" s="141" t="s">
        <v>228</v>
      </c>
      <c r="B32" s="142" t="s">
        <v>8</v>
      </c>
      <c r="C32" s="141"/>
      <c r="D32" s="141">
        <f t="shared" ref="D32:N32" si="7">D29+D31</f>
        <v>-164.53839999999991</v>
      </c>
      <c r="E32" s="141">
        <f t="shared" si="7"/>
        <v>386.93632000000002</v>
      </c>
      <c r="F32" s="141">
        <f t="shared" si="7"/>
        <v>1613.0229624000003</v>
      </c>
      <c r="G32" s="141">
        <f t="shared" si="7"/>
        <v>3114.9065178968008</v>
      </c>
      <c r="H32" s="141">
        <f t="shared" si="7"/>
        <v>5093.2874569633686</v>
      </c>
      <c r="I32" s="141">
        <f t="shared" si="7"/>
        <v>6853.647672925732</v>
      </c>
      <c r="J32" s="141">
        <f t="shared" si="7"/>
        <v>9024.3776547412126</v>
      </c>
      <c r="K32" s="141">
        <f t="shared" si="7"/>
        <v>11221.124464698101</v>
      </c>
      <c r="L32" s="141">
        <f t="shared" si="7"/>
        <v>12927.280491761452</v>
      </c>
      <c r="M32" s="141">
        <f t="shared" si="7"/>
        <v>14158.26646842949</v>
      </c>
      <c r="N32" s="141">
        <f t="shared" si="7"/>
        <v>14866.179791850969</v>
      </c>
    </row>
    <row r="33" spans="1:14" ht="15.75" customHeight="1" x14ac:dyDescent="0.25">
      <c r="A33" s="26" t="s">
        <v>229</v>
      </c>
      <c r="B33" s="138" t="s">
        <v>8</v>
      </c>
      <c r="D33" s="19">
        <f t="shared" ref="D33:N33" si="8">-D28</f>
        <v>1386.1394</v>
      </c>
      <c r="E33" s="19">
        <f t="shared" si="8"/>
        <v>2033.3434800000002</v>
      </c>
      <c r="F33" s="19">
        <f t="shared" si="8"/>
        <v>2714.3524799999996</v>
      </c>
      <c r="G33" s="19">
        <f t="shared" si="8"/>
        <v>3393.9853717599999</v>
      </c>
      <c r="H33" s="19">
        <f t="shared" si="8"/>
        <v>4140.2917553491989</v>
      </c>
      <c r="I33" s="19">
        <f t="shared" si="8"/>
        <v>4901.433960973678</v>
      </c>
      <c r="J33" s="19">
        <f t="shared" si="8"/>
        <v>5613.0226290889786</v>
      </c>
      <c r="K33" s="19">
        <f t="shared" si="8"/>
        <v>6437.6701003871613</v>
      </c>
      <c r="L33" s="19">
        <f t="shared" si="8"/>
        <v>7215.1246724598668</v>
      </c>
      <c r="M33" s="19">
        <f t="shared" si="8"/>
        <v>7918.3385552128193</v>
      </c>
      <c r="N33" s="19">
        <f t="shared" si="8"/>
        <v>8314.2554829734599</v>
      </c>
    </row>
    <row r="34" spans="1:14" ht="15.75" customHeight="1" x14ac:dyDescent="0.25">
      <c r="A34" s="26" t="s">
        <v>230</v>
      </c>
      <c r="B34" s="138" t="s">
        <v>8</v>
      </c>
      <c r="D34" s="19">
        <f>-D14*Assumptions!G96</f>
        <v>-1772.9690000000003</v>
      </c>
      <c r="E34" s="19">
        <f>-E14*Assumptions!H96</f>
        <v>-2420.6470000000004</v>
      </c>
      <c r="F34" s="19">
        <f>-F14*Assumptions!I96</f>
        <v>-3053.6465399999993</v>
      </c>
      <c r="G34" s="19">
        <f>-G14*Assumptions!J96</f>
        <v>-3572.6161807999997</v>
      </c>
      <c r="H34" s="19">
        <f>-H14*Assumptions!K96</f>
        <v>-4252.1915325207992</v>
      </c>
      <c r="I34" s="19">
        <f>-I14*Assumptions!L96</f>
        <v>-4765.2830176132993</v>
      </c>
      <c r="J34" s="19">
        <f>-J14*Assumptions!M96</f>
        <v>-5613.0226290889786</v>
      </c>
      <c r="K34" s="19">
        <f>-K14*Assumptions!N96</f>
        <v>-6437.6701003871613</v>
      </c>
      <c r="L34" s="19">
        <f>-L14*Assumptions!O96</f>
        <v>-7215.1246724598668</v>
      </c>
      <c r="M34" s="19">
        <f>-M14*Assumptions!P96</f>
        <v>-7918.3385552128193</v>
      </c>
      <c r="N34" s="19">
        <f>-N14*Assumptions!Q96</f>
        <v>-8314.2554829734599</v>
      </c>
    </row>
    <row r="35" spans="1:14" ht="15.75" customHeight="1" thickBot="1" x14ac:dyDescent="0.3">
      <c r="A35" s="26" t="s">
        <v>231</v>
      </c>
      <c r="B35" s="138" t="s">
        <v>8</v>
      </c>
      <c r="D35" s="19">
        <f>-(D14-C14)*Assumptions!G99</f>
        <v>-959.42400000000021</v>
      </c>
      <c r="E35" s="19">
        <f>-(E14-D14)*Assumptions!H99</f>
        <v>-1294.1712</v>
      </c>
      <c r="F35" s="19">
        <f>-(F14-E14)*Assumptions!I99</f>
        <v>-1361.2110399999992</v>
      </c>
      <c r="G35" s="19">
        <f>-(G14-F14)*Assumptions!J99</f>
        <v>-1501.9614764000005</v>
      </c>
      <c r="H35" s="19">
        <f>-(H14-G14)*Assumptions!K99</f>
        <v>-1355.0623590959992</v>
      </c>
      <c r="I35" s="19">
        <f>-(I14-H14)*Assumptions!L99</f>
        <v>-1455.0699713267982</v>
      </c>
      <c r="J35" s="19">
        <f>-(J14-I14)*Assumptions!M99</f>
        <v>-1211.0565878223993</v>
      </c>
      <c r="K35" s="19">
        <f>-(K14-J14)*Assumptions!N99</f>
        <v>-1178.0678161402611</v>
      </c>
      <c r="L35" s="19">
        <f>-(L14-K14)*Assumptions!O99</f>
        <v>-1110.6493886752942</v>
      </c>
      <c r="M35" s="19">
        <f>-(M14-L14)*Assumptions!P99</f>
        <v>-1004.5912610756452</v>
      </c>
      <c r="N35" s="19">
        <f>-(N14-M14)*Assumptions!Q99</f>
        <v>-565.59561108663036</v>
      </c>
    </row>
    <row r="36" spans="1:14" ht="15.75" customHeight="1" x14ac:dyDescent="0.25">
      <c r="A36" s="143" t="s">
        <v>232</v>
      </c>
      <c r="B36" s="144" t="s">
        <v>8</v>
      </c>
      <c r="C36" s="143"/>
      <c r="D36" s="143">
        <f t="shared" ref="D36:N36" si="9">D32+D33+D34+D35</f>
        <v>-1510.7920000000004</v>
      </c>
      <c r="E36" s="143">
        <f t="shared" si="9"/>
        <v>-1294.5384000000001</v>
      </c>
      <c r="F36" s="143">
        <f t="shared" si="9"/>
        <v>-87.482137599998623</v>
      </c>
      <c r="G36" s="143">
        <f t="shared" si="9"/>
        <v>1434.3142324568009</v>
      </c>
      <c r="H36" s="143">
        <f t="shared" si="9"/>
        <v>3626.3253206957697</v>
      </c>
      <c r="I36" s="143">
        <f t="shared" si="9"/>
        <v>5534.7286449593121</v>
      </c>
      <c r="J36" s="143">
        <f t="shared" si="9"/>
        <v>7813.3210669188138</v>
      </c>
      <c r="K36" s="143">
        <f t="shared" si="9"/>
        <v>10043.056648557842</v>
      </c>
      <c r="L36" s="143">
        <f t="shared" si="9"/>
        <v>11816.631103086158</v>
      </c>
      <c r="M36" s="143">
        <f t="shared" si="9"/>
        <v>13153.675207353845</v>
      </c>
      <c r="N36" s="143">
        <f t="shared" si="9"/>
        <v>14300.584180764337</v>
      </c>
    </row>
    <row r="37" spans="1:14" ht="15.75" customHeight="1" x14ac:dyDescent="0.25">
      <c r="A37" s="140" t="s">
        <v>233</v>
      </c>
      <c r="B37" s="138" t="s">
        <v>184</v>
      </c>
      <c r="D37" s="19">
        <f t="shared" ref="D37:N37" si="10">D36/D14</f>
        <v>-4.6866899534058412E-2</v>
      </c>
      <c r="E37" s="19">
        <f t="shared" si="10"/>
        <v>-2.6739512204794834E-2</v>
      </c>
      <c r="F37" s="19">
        <f t="shared" si="10"/>
        <v>-1.2891787377591968E-3</v>
      </c>
      <c r="G37" s="19">
        <f t="shared" si="10"/>
        <v>1.6058979301108372E-2</v>
      </c>
      <c r="H37" s="19">
        <f t="shared" si="10"/>
        <v>3.240690385946654E-2</v>
      </c>
      <c r="I37" s="19">
        <f t="shared" si="10"/>
        <v>4.0651416055997175E-2</v>
      </c>
      <c r="J37" s="19">
        <f t="shared" si="10"/>
        <v>4.8719959888446671E-2</v>
      </c>
      <c r="K37" s="19">
        <f t="shared" si="10"/>
        <v>5.4601583681398162E-2</v>
      </c>
      <c r="L37" s="19">
        <f t="shared" si="10"/>
        <v>5.7321544309089839E-2</v>
      </c>
      <c r="M37" s="19">
        <f t="shared" si="10"/>
        <v>5.814081186946813E-2</v>
      </c>
      <c r="N37" s="19">
        <f t="shared" si="10"/>
        <v>6.0200272574225583E-2</v>
      </c>
    </row>
    <row r="39" spans="1:14" ht="15.75" customHeight="1" x14ac:dyDescent="0.25">
      <c r="A39" s="140" t="s">
        <v>235</v>
      </c>
      <c r="B39" s="138" t="s">
        <v>236</v>
      </c>
      <c r="D39" s="145">
        <v>1</v>
      </c>
      <c r="E39" s="145">
        <f t="shared" ref="E39:M39" si="11">D39+1</f>
        <v>2</v>
      </c>
      <c r="F39" s="145">
        <f t="shared" si="11"/>
        <v>3</v>
      </c>
      <c r="G39" s="145">
        <f t="shared" si="11"/>
        <v>4</v>
      </c>
      <c r="H39" s="145">
        <f t="shared" si="11"/>
        <v>5</v>
      </c>
      <c r="I39" s="145">
        <f t="shared" si="11"/>
        <v>6</v>
      </c>
      <c r="J39" s="145">
        <f t="shared" si="11"/>
        <v>7</v>
      </c>
      <c r="K39" s="145">
        <f t="shared" si="11"/>
        <v>8</v>
      </c>
      <c r="L39" s="145">
        <f t="shared" si="11"/>
        <v>9</v>
      </c>
      <c r="M39" s="145">
        <f t="shared" si="11"/>
        <v>10</v>
      </c>
    </row>
    <row r="40" spans="1:14" ht="15.75" customHeight="1" x14ac:dyDescent="0.25">
      <c r="A40" s="140" t="s">
        <v>237</v>
      </c>
      <c r="B40" s="138" t="s">
        <v>187</v>
      </c>
      <c r="D40" s="145">
        <f>1/(1+Assumptions!$T$24)^D39</f>
        <v>0.88478998463516823</v>
      </c>
      <c r="E40" s="145">
        <f>1/(1+Assumptions!$T$24)^E39</f>
        <v>0.78285331691070126</v>
      </c>
      <c r="F40" s="145">
        <f>1/(1+Assumptions!$T$24)^F39</f>
        <v>0.6926607742410098</v>
      </c>
      <c r="G40" s="145">
        <f>1/(1+Assumptions!$T$24)^G39</f>
        <v>0.61285931579808672</v>
      </c>
      <c r="H40" s="145">
        <f>1/(1+Assumptions!$T$24)^H39</f>
        <v>0.54225178460850898</v>
      </c>
      <c r="I40" s="145">
        <f>1/(1+Assumptions!$T$24)^I39</f>
        <v>0.47977894817215516</v>
      </c>
      <c r="J40" s="145">
        <f>1/(1+Assumptions!$T$24)^J39</f>
        <v>0.42450360818151833</v>
      </c>
      <c r="K40" s="145">
        <f>1/(1+Assumptions!$T$24)^K39</f>
        <v>0.37559654096049905</v>
      </c>
      <c r="L40" s="145">
        <f>1/(1+Assumptions!$T$24)^L39</f>
        <v>0.33232405770546225</v>
      </c>
      <c r="M40" s="145">
        <f>1/(1+Assumptions!$T$24)^M39</f>
        <v>0.29403699791111276</v>
      </c>
    </row>
    <row r="41" spans="1:14" ht="15.75" customHeight="1" x14ac:dyDescent="0.25">
      <c r="A41" s="20" t="s">
        <v>238</v>
      </c>
      <c r="B41" s="139" t="s">
        <v>8</v>
      </c>
      <c r="C41" s="20"/>
      <c r="D41" s="20">
        <f t="shared" ref="D41:M41" si="12">D36*D40</f>
        <v>-1336.7336304669354</v>
      </c>
      <c r="E41" s="20">
        <f t="shared" si="12"/>
        <v>-1013.4336803082723</v>
      </c>
      <c r="F41" s="20">
        <f t="shared" si="12"/>
        <v>-60.595445162273599</v>
      </c>
      <c r="G41" s="20">
        <f t="shared" si="12"/>
        <v>879.03283914293297</v>
      </c>
      <c r="H41" s="20">
        <f t="shared" si="12"/>
        <v>1966.3813767183049</v>
      </c>
      <c r="I41" s="20">
        <f t="shared" si="12"/>
        <v>2655.4462876968764</v>
      </c>
      <c r="J41" s="20">
        <f t="shared" si="12"/>
        <v>3316.7829847877069</v>
      </c>
      <c r="K41" s="20">
        <f t="shared" si="12"/>
        <v>3772.1373378686676</v>
      </c>
      <c r="L41" s="20">
        <f t="shared" si="12"/>
        <v>3926.9507965861644</v>
      </c>
      <c r="M41" s="20">
        <f t="shared" si="12"/>
        <v>3867.6671694681581</v>
      </c>
      <c r="N41" s="20"/>
    </row>
    <row r="43" spans="1:14" ht="15.75" customHeight="1" x14ac:dyDescent="0.25">
      <c r="A43" s="146" t="s">
        <v>240</v>
      </c>
      <c r="B43" s="138" t="s">
        <v>8</v>
      </c>
      <c r="D43" s="19">
        <f>SUM(D41:M41)</f>
        <v>17973.636036331329</v>
      </c>
    </row>
    <row r="44" spans="1:14" ht="15.75" customHeight="1" x14ac:dyDescent="0.25">
      <c r="A44" s="26" t="s">
        <v>241</v>
      </c>
      <c r="B44" s="138" t="s">
        <v>8</v>
      </c>
      <c r="D44" s="19">
        <f>M36*(1+Assumptions!$T$28)</f>
        <v>13811.358967721537</v>
      </c>
    </row>
    <row r="45" spans="1:14" ht="15.75" customHeight="1" x14ac:dyDescent="0.25">
      <c r="A45" s="26" t="s">
        <v>242</v>
      </c>
      <c r="B45" s="138" t="s">
        <v>8</v>
      </c>
      <c r="D45" s="19">
        <f>D44/(Assumptions!$T$24-Assumptions!$T$28)</f>
        <v>172186.32123130857</v>
      </c>
    </row>
    <row r="46" spans="1:14" ht="15.75" customHeight="1" x14ac:dyDescent="0.25">
      <c r="A46" s="146" t="s">
        <v>243</v>
      </c>
      <c r="B46" s="138" t="s">
        <v>8</v>
      </c>
      <c r="D46" s="19">
        <f>D45/(1+Assumptions!$T$24)^Assumptions!$F$27</f>
        <v>50629.148976212462</v>
      </c>
    </row>
    <row r="47" spans="1:14" ht="15.75" customHeight="1" x14ac:dyDescent="0.25">
      <c r="A47" s="20" t="s">
        <v>244</v>
      </c>
      <c r="B47" s="139" t="s">
        <v>8</v>
      </c>
      <c r="C47" s="20"/>
      <c r="D47" s="20">
        <f>D43+D46</f>
        <v>68602.785012543784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5.75" customHeight="1" x14ac:dyDescent="0.25">
      <c r="A48" s="26" t="s">
        <v>245</v>
      </c>
      <c r="B48" s="138" t="s">
        <v>8</v>
      </c>
      <c r="D48" s="19">
        <f>-Assumptions!$F$10</f>
        <v>-2045</v>
      </c>
    </row>
    <row r="49" spans="1:14" ht="15.75" customHeight="1" thickBot="1" x14ac:dyDescent="0.3">
      <c r="A49" s="26" t="s">
        <v>246</v>
      </c>
      <c r="B49" s="138" t="s">
        <v>8</v>
      </c>
      <c r="D49" s="19">
        <f>Assumptions!$F$11</f>
        <v>16806</v>
      </c>
    </row>
    <row r="50" spans="1:14" ht="15.75" customHeight="1" x14ac:dyDescent="0.25">
      <c r="A50" s="143" t="s">
        <v>247</v>
      </c>
      <c r="B50" s="144" t="s">
        <v>8</v>
      </c>
      <c r="C50" s="143"/>
      <c r="D50" s="143">
        <f>D47+D48+D49</f>
        <v>83363.785012543784</v>
      </c>
      <c r="E50" s="143"/>
      <c r="F50" s="143"/>
      <c r="G50" s="143"/>
      <c r="H50" s="143"/>
      <c r="I50" s="143"/>
      <c r="J50" s="143"/>
      <c r="K50" s="143"/>
      <c r="L50" s="143"/>
      <c r="M50" s="143"/>
      <c r="N50" s="143"/>
    </row>
    <row r="51" spans="1:14" ht="15.75" customHeight="1" x14ac:dyDescent="0.25">
      <c r="A51" s="26" t="s">
        <v>176</v>
      </c>
      <c r="B51" s="138" t="s">
        <v>177</v>
      </c>
      <c r="D51" s="19">
        <f>Assumptions!$F$8</f>
        <v>951.5</v>
      </c>
    </row>
    <row r="52" spans="1:14" ht="15.75" customHeight="1" x14ac:dyDescent="0.25">
      <c r="A52" s="146" t="s">
        <v>248</v>
      </c>
      <c r="B52" s="138" t="s">
        <v>90</v>
      </c>
      <c r="D52" s="19">
        <f>D50/D51</f>
        <v>87.613016303251484</v>
      </c>
    </row>
    <row r="53" spans="1:14" ht="15.75" customHeight="1" x14ac:dyDescent="0.25">
      <c r="A53" s="26" t="s">
        <v>249</v>
      </c>
      <c r="B53" s="138" t="s">
        <v>90</v>
      </c>
      <c r="D53" s="19">
        <f>Assumptions!$F$7</f>
        <v>251</v>
      </c>
    </row>
    <row r="54" spans="1:14" ht="15.75" customHeight="1" thickBot="1" x14ac:dyDescent="0.3">
      <c r="A54" s="147" t="s">
        <v>250</v>
      </c>
      <c r="B54" s="148" t="s">
        <v>184</v>
      </c>
      <c r="C54" s="147"/>
      <c r="D54" s="147">
        <f>D52/D53-1</f>
        <v>-0.65094415815437656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</row>
    <row r="57" spans="1:14" ht="20.100000000000001" customHeight="1" x14ac:dyDescent="0.25">
      <c r="A57" s="126" t="s">
        <v>272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</row>
    <row r="59" spans="1:14" ht="15.75" customHeight="1" x14ac:dyDescent="0.25">
      <c r="A59" s="137" t="s">
        <v>215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</row>
    <row r="60" spans="1:14" ht="15.75" customHeight="1" x14ac:dyDescent="0.25">
      <c r="A60" s="26" t="s">
        <v>200</v>
      </c>
      <c r="B60" s="138" t="s">
        <v>8</v>
      </c>
      <c r="C60" s="19">
        <f>DCF!F7</f>
        <v>8080</v>
      </c>
      <c r="D60" s="19">
        <f>C60*(1+Assumptions!G57)</f>
        <v>10504</v>
      </c>
      <c r="E60" s="19">
        <f>D60*(1+Assumptions!H57)</f>
        <v>13340.08</v>
      </c>
      <c r="F60" s="19">
        <f>E60*(1+Assumptions!I57)</f>
        <v>16541.699199999999</v>
      </c>
      <c r="G60" s="19">
        <f>F60*(1+Assumptions!J57)</f>
        <v>20180.873023999997</v>
      </c>
      <c r="H60" s="19">
        <f>G60*(1+Assumptions!K57)</f>
        <v>24217.047628799995</v>
      </c>
      <c r="I60" s="19">
        <f>H60*(1+Assumptions!L57)</f>
        <v>28576.116201983994</v>
      </c>
      <c r="J60" s="19">
        <f>I60*(1+Assumptions!M57)</f>
        <v>33148.29479430143</v>
      </c>
      <c r="K60" s="19">
        <f>J60*(1+Assumptions!N57)</f>
        <v>37789.056065503632</v>
      </c>
      <c r="L60" s="19">
        <f>K60*(1+Assumptions!O57)</f>
        <v>42323.742793364072</v>
      </c>
      <c r="M60" s="19">
        <f>L60*(1+Assumptions!P57)</f>
        <v>46556.117072700486</v>
      </c>
      <c r="N60" s="19">
        <f>M60*(1+Assumptions!Q57)</f>
        <v>49349.484097062516</v>
      </c>
    </row>
    <row r="61" spans="1:14" ht="15.75" customHeight="1" x14ac:dyDescent="0.25">
      <c r="A61" s="26" t="s">
        <v>201</v>
      </c>
      <c r="B61" s="138" t="s">
        <v>8</v>
      </c>
      <c r="C61" s="19">
        <f>DCF!F8</f>
        <v>6196</v>
      </c>
      <c r="D61" s="19">
        <f>C61*(1+Assumptions!G60)</f>
        <v>10843</v>
      </c>
      <c r="E61" s="19">
        <f>D61*(1+Assumptions!H60)</f>
        <v>17348.8</v>
      </c>
      <c r="F61" s="19">
        <f>E61*(1+Assumptions!I60)</f>
        <v>25676.223999999998</v>
      </c>
      <c r="G61" s="19">
        <f>F61*(1+Assumptions!J60)</f>
        <v>35946.713599999995</v>
      </c>
      <c r="H61" s="19">
        <f>G61*(1+Assumptions!K60)</f>
        <v>48528.06336</v>
      </c>
      <c r="I61" s="19">
        <f>H61*(1+Assumptions!L60)</f>
        <v>63086.482368000004</v>
      </c>
      <c r="J61" s="19">
        <f>I61*(1+Assumptions!M60)</f>
        <v>78858.102960000004</v>
      </c>
      <c r="K61" s="19">
        <f>J61*(1+Assumptions!N60)</f>
        <v>96206.885611200007</v>
      </c>
      <c r="L61" s="19">
        <f>K61*(1+Assumptions!O60)</f>
        <v>113524.12502121601</v>
      </c>
      <c r="M61" s="19">
        <f>L61*(1+Assumptions!P60)</f>
        <v>130552.7437743984</v>
      </c>
      <c r="N61" s="19">
        <f>M61*(1+Assumptions!Q60)</f>
        <v>138385.9084008623</v>
      </c>
    </row>
    <row r="62" spans="1:14" ht="15.75" customHeight="1" x14ac:dyDescent="0.25">
      <c r="A62" s="26" t="s">
        <v>202</v>
      </c>
      <c r="B62" s="138" t="s">
        <v>8</v>
      </c>
      <c r="C62" s="19">
        <f>DCF!F9</f>
        <v>5206</v>
      </c>
      <c r="D62" s="19">
        <f>C62*(1+Assumptions!G63)</f>
        <v>11453.2</v>
      </c>
      <c r="E62" s="19">
        <f>D62*(1+Assumptions!H63)</f>
        <v>21761.08</v>
      </c>
      <c r="F62" s="19">
        <f>E62*(1+Assumptions!I63)</f>
        <v>35905.781999999999</v>
      </c>
      <c r="G62" s="19">
        <f>F62*(1+Assumptions!J63)</f>
        <v>53858.672999999995</v>
      </c>
      <c r="H62" s="19">
        <f>G62*(1+Assumptions!K63)</f>
        <v>75402.142199999987</v>
      </c>
      <c r="I62" s="19">
        <f>H62*(1+Assumptions!L63)</f>
        <v>101792.89197</v>
      </c>
      <c r="J62" s="19">
        <f>I62*(1+Assumptions!M63)</f>
        <v>130294.90172159999</v>
      </c>
      <c r="K62" s="19">
        <f>J62*(1+Assumptions!N63)</f>
        <v>158959.78010035199</v>
      </c>
      <c r="L62" s="19">
        <f>K62*(1+Assumptions!O63)</f>
        <v>187572.54051841534</v>
      </c>
      <c r="M62" s="19">
        <f>L62*(1+Assumptions!P63)</f>
        <v>211956.9707858093</v>
      </c>
      <c r="N62" s="19">
        <f>M62*(1+Assumptions!Q63)</f>
        <v>224674.38903295787</v>
      </c>
    </row>
    <row r="63" spans="1:14" ht="15.75" customHeight="1" x14ac:dyDescent="0.25">
      <c r="A63" s="26" t="s">
        <v>203</v>
      </c>
      <c r="B63" s="138" t="s">
        <v>8</v>
      </c>
      <c r="C63" s="19">
        <f>DCF!F10</f>
        <v>737</v>
      </c>
      <c r="D63" s="19">
        <f>C63*(1+Assumptions!G66)</f>
        <v>1621.4</v>
      </c>
      <c r="E63" s="19">
        <f>D63*(1+Assumptions!H66)</f>
        <v>2999.59</v>
      </c>
      <c r="F63" s="19">
        <f>E63*(1+Assumptions!I66)</f>
        <v>4949.3235000000004</v>
      </c>
      <c r="G63" s="19">
        <f>F63*(1+Assumptions!J66)</f>
        <v>7423.9852500000006</v>
      </c>
      <c r="H63" s="19">
        <f>G63*(1+Assumptions!K66)</f>
        <v>10393.57935</v>
      </c>
      <c r="I63" s="19">
        <f>H63*(1+Assumptions!L66)</f>
        <v>13511.653155</v>
      </c>
      <c r="J63" s="19">
        <f>I63*(1+Assumptions!M66)</f>
        <v>16484.216849100001</v>
      </c>
      <c r="K63" s="19">
        <f>J63*(1+Assumptions!N66)</f>
        <v>19451.375881938002</v>
      </c>
      <c r="L63" s="19">
        <f>K63*(1+Assumptions!O66)</f>
        <v>22174.568505409323</v>
      </c>
      <c r="M63" s="19">
        <f>L63*(1+Assumptions!P66)</f>
        <v>24392.025355950256</v>
      </c>
      <c r="N63" s="19">
        <f>M63*(1+Assumptions!Q66)</f>
        <v>25855.546877307272</v>
      </c>
    </row>
    <row r="64" spans="1:14" ht="15.75" customHeight="1" x14ac:dyDescent="0.25">
      <c r="A64" s="26" t="s">
        <v>204</v>
      </c>
      <c r="B64" s="138" t="s">
        <v>8</v>
      </c>
      <c r="C64" s="19">
        <f>DCF!F11</f>
        <v>24</v>
      </c>
      <c r="D64" s="19">
        <f>C64*(1+Assumptions!G69)</f>
        <v>27.599999999999998</v>
      </c>
      <c r="E64" s="19">
        <f>D64*(1+Assumptions!H69)</f>
        <v>31.739999999999995</v>
      </c>
      <c r="F64" s="19">
        <f>E64*(1+Assumptions!I69)</f>
        <v>36.500999999999991</v>
      </c>
      <c r="G64" s="19">
        <f>F64*(1+Assumptions!J69)</f>
        <v>40.881119999999996</v>
      </c>
      <c r="H64" s="19">
        <f>G64*(1+Assumptions!K69)</f>
        <v>44.969231999999998</v>
      </c>
      <c r="I64" s="19">
        <f>H64*(1+Assumptions!L69)</f>
        <v>48.566770560000002</v>
      </c>
      <c r="J64" s="19">
        <f>I64*(1+Assumptions!M69)</f>
        <v>52.452112204800002</v>
      </c>
      <c r="K64" s="19">
        <f>J64*(1+Assumptions!N69)</f>
        <v>56.648281181184004</v>
      </c>
      <c r="L64" s="19">
        <f>K64*(1+Assumptions!O69)</f>
        <v>61.180143675678728</v>
      </c>
      <c r="M64" s="19">
        <f>L64*(1+Assumptions!P69)</f>
        <v>66.074555169733031</v>
      </c>
      <c r="N64" s="19">
        <f>M64*(1+Assumptions!Q69)</f>
        <v>70.039028479917022</v>
      </c>
    </row>
    <row r="65" spans="1:14" ht="15.75" customHeight="1" x14ac:dyDescent="0.25">
      <c r="A65" s="20" t="s">
        <v>216</v>
      </c>
      <c r="B65" s="139" t="s">
        <v>8</v>
      </c>
      <c r="C65" s="20">
        <f t="shared" ref="C65:N65" si="13">SUM(C60:C64)</f>
        <v>20243</v>
      </c>
      <c r="D65" s="20">
        <f t="shared" si="13"/>
        <v>34449.199999999997</v>
      </c>
      <c r="E65" s="20">
        <f t="shared" si="13"/>
        <v>55481.29</v>
      </c>
      <c r="F65" s="20">
        <f t="shared" si="13"/>
        <v>83109.529699999999</v>
      </c>
      <c r="G65" s="20">
        <f t="shared" si="13"/>
        <v>117451.12599399999</v>
      </c>
      <c r="H65" s="20">
        <f t="shared" si="13"/>
        <v>158585.80177079997</v>
      </c>
      <c r="I65" s="20">
        <f t="shared" si="13"/>
        <v>207015.71046554399</v>
      </c>
      <c r="J65" s="20">
        <f t="shared" si="13"/>
        <v>258837.9684372062</v>
      </c>
      <c r="K65" s="20">
        <f t="shared" si="13"/>
        <v>312463.74594017485</v>
      </c>
      <c r="L65" s="20">
        <f t="shared" si="13"/>
        <v>365656.15698208043</v>
      </c>
      <c r="M65" s="20">
        <f t="shared" si="13"/>
        <v>413523.93154402816</v>
      </c>
      <c r="N65" s="20">
        <f t="shared" si="13"/>
        <v>438335.36743666988</v>
      </c>
    </row>
    <row r="66" spans="1:14" ht="15.75" customHeight="1" x14ac:dyDescent="0.25">
      <c r="A66" s="140" t="s">
        <v>217</v>
      </c>
      <c r="B66" s="138" t="s">
        <v>184</v>
      </c>
      <c r="D66" s="19">
        <f t="shared" ref="D66:N66" si="14">D65/C65-1</f>
        <v>0.70178333251000335</v>
      </c>
      <c r="E66" s="19">
        <f t="shared" si="14"/>
        <v>0.61052477270880035</v>
      </c>
      <c r="F66" s="19">
        <f t="shared" si="14"/>
        <v>0.4979739962787455</v>
      </c>
      <c r="G66" s="19">
        <f t="shared" si="14"/>
        <v>0.41320888733172545</v>
      </c>
      <c r="H66" s="19">
        <f t="shared" si="14"/>
        <v>0.35022802402849118</v>
      </c>
      <c r="I66" s="19">
        <f t="shared" si="14"/>
        <v>0.30538615786511913</v>
      </c>
      <c r="J66" s="19">
        <f t="shared" si="14"/>
        <v>0.25033007328343615</v>
      </c>
      <c r="K66" s="19">
        <f t="shared" si="14"/>
        <v>0.20717894606709608</v>
      </c>
      <c r="L66" s="19">
        <f t="shared" si="14"/>
        <v>0.17023546485962537</v>
      </c>
      <c r="M66" s="19">
        <f t="shared" si="14"/>
        <v>0.13090925353758931</v>
      </c>
      <c r="N66" s="19">
        <f t="shared" si="14"/>
        <v>6.0000000000000053E-2</v>
      </c>
    </row>
    <row r="68" spans="1:14" ht="15.75" customHeight="1" x14ac:dyDescent="0.25">
      <c r="A68" s="137" t="s">
        <v>218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</row>
    <row r="69" spans="1:14" ht="15.75" customHeight="1" x14ac:dyDescent="0.25">
      <c r="A69" s="26" t="s">
        <v>200</v>
      </c>
      <c r="B69" s="138" t="s">
        <v>8</v>
      </c>
      <c r="D69" s="19">
        <f>D60*Assumptions!G74</f>
        <v>2415.92</v>
      </c>
      <c r="E69" s="19">
        <f>E60*Assumptions!H74</f>
        <v>3201.6191999999996</v>
      </c>
      <c r="F69" s="19">
        <f>F60*Assumptions!I74</f>
        <v>4135.4247999999998</v>
      </c>
      <c r="G69" s="19">
        <f>G60*Assumptions!J74</f>
        <v>5247.0269862399991</v>
      </c>
      <c r="H69" s="19">
        <f>H60*Assumptions!K74</f>
        <v>6538.6028597759996</v>
      </c>
      <c r="I69" s="19">
        <f>I60*Assumptions!L74</f>
        <v>8001.3125365555188</v>
      </c>
      <c r="J69" s="19">
        <f>J60*Assumptions!M74</f>
        <v>9281.522542404402</v>
      </c>
      <c r="K69" s="19">
        <f>K60*Assumptions!N74</f>
        <v>10580.935698341018</v>
      </c>
      <c r="L69" s="19">
        <f>L60*Assumptions!O74</f>
        <v>11850.647982141942</v>
      </c>
      <c r="M69" s="19">
        <f>M60*Assumptions!P74</f>
        <v>13035.712780356138</v>
      </c>
      <c r="N69" s="19">
        <f>N60*Assumptions!Q74</f>
        <v>13817.855547177505</v>
      </c>
    </row>
    <row r="70" spans="1:14" ht="15.75" customHeight="1" x14ac:dyDescent="0.25">
      <c r="A70" s="26" t="s">
        <v>201</v>
      </c>
      <c r="B70" s="138" t="s">
        <v>8</v>
      </c>
      <c r="D70" s="19">
        <f>D61*Assumptions!G77</f>
        <v>216.86</v>
      </c>
      <c r="E70" s="19">
        <f>E61*Assumptions!H77</f>
        <v>520.46399999999994</v>
      </c>
      <c r="F70" s="19">
        <f>F61*Assumptions!I77</f>
        <v>1027.0489599999999</v>
      </c>
      <c r="G70" s="19">
        <f>G61*Assumptions!J77</f>
        <v>1797.3356799999999</v>
      </c>
      <c r="H70" s="19">
        <f>H61*Assumptions!K77</f>
        <v>2911.6838015999997</v>
      </c>
      <c r="I70" s="19">
        <f>I61*Assumptions!L77</f>
        <v>4416.0537657600007</v>
      </c>
      <c r="J70" s="19">
        <f>J61*Assumptions!M77</f>
        <v>5520.0672072000007</v>
      </c>
      <c r="K70" s="19">
        <f>K61*Assumptions!N77</f>
        <v>6734.4819927840008</v>
      </c>
      <c r="L70" s="19">
        <f>L61*Assumptions!O77</f>
        <v>7946.6887514851214</v>
      </c>
      <c r="M70" s="19">
        <f>M61*Assumptions!P77</f>
        <v>9138.6920642078894</v>
      </c>
      <c r="N70" s="19">
        <f>N61*Assumptions!Q77</f>
        <v>9687.013588060363</v>
      </c>
    </row>
    <row r="71" spans="1:14" ht="15.75" customHeight="1" x14ac:dyDescent="0.25">
      <c r="A71" s="26" t="s">
        <v>202</v>
      </c>
      <c r="B71" s="138" t="s">
        <v>8</v>
      </c>
      <c r="D71" s="19">
        <f>D62*Assumptions!G80</f>
        <v>343.596</v>
      </c>
      <c r="E71" s="19">
        <f>E62*Assumptions!H80</f>
        <v>1523.2756000000002</v>
      </c>
      <c r="F71" s="19">
        <f>F62*Assumptions!I80</f>
        <v>3949.6360199999999</v>
      </c>
      <c r="G71" s="19">
        <f>G62*Assumptions!J80</f>
        <v>7540.2142199999998</v>
      </c>
      <c r="H71" s="19">
        <f>H62*Assumptions!K80</f>
        <v>12064.342751999999</v>
      </c>
      <c r="I71" s="19">
        <f>I62*Assumptions!L80</f>
        <v>17304.791634900001</v>
      </c>
      <c r="J71" s="19">
        <f>J62*Assumptions!M80</f>
        <v>23453.082309887999</v>
      </c>
      <c r="K71" s="19">
        <f>K62*Assumptions!N80</f>
        <v>30202.358219066879</v>
      </c>
      <c r="L71" s="19">
        <f>L62*Assumptions!O80</f>
        <v>35638.782698498915</v>
      </c>
      <c r="M71" s="19">
        <f>M62*Assumptions!P80</f>
        <v>40271.824449303771</v>
      </c>
      <c r="N71" s="19">
        <f>N62*Assumptions!Q80</f>
        <v>42688.133916261999</v>
      </c>
    </row>
    <row r="72" spans="1:14" ht="15.75" customHeight="1" x14ac:dyDescent="0.25">
      <c r="A72" s="26" t="s">
        <v>203</v>
      </c>
      <c r="B72" s="138" t="s">
        <v>8</v>
      </c>
      <c r="D72" s="19">
        <f>D63*Assumptions!G83</f>
        <v>-48.642000000000003</v>
      </c>
      <c r="E72" s="19">
        <f>E63*Assumptions!H83</f>
        <v>0</v>
      </c>
      <c r="F72" s="19">
        <f>F63*Assumptions!I83</f>
        <v>197.97294000000002</v>
      </c>
      <c r="G72" s="19">
        <f>G63*Assumptions!J83</f>
        <v>593.9188200000001</v>
      </c>
      <c r="H72" s="19">
        <f>H63*Assumptions!K83</f>
        <v>1247.2295219999999</v>
      </c>
      <c r="I72" s="19">
        <f>I63*Assumptions!L83</f>
        <v>2026.7479732499999</v>
      </c>
      <c r="J72" s="19">
        <f>J63*Assumptions!M83</f>
        <v>2802.3168643470003</v>
      </c>
      <c r="K72" s="19">
        <f>K63*Assumptions!N83</f>
        <v>3501.2476587488404</v>
      </c>
      <c r="L72" s="19">
        <f>L63*Assumptions!O83</f>
        <v>4213.168016027771</v>
      </c>
      <c r="M72" s="19">
        <f>M63*Assumptions!P83</f>
        <v>4634.4848176305486</v>
      </c>
      <c r="N72" s="19">
        <f>N63*Assumptions!Q83</f>
        <v>4912.5539066883821</v>
      </c>
    </row>
    <row r="73" spans="1:14" ht="15.75" customHeight="1" x14ac:dyDescent="0.25">
      <c r="A73" s="26" t="s">
        <v>204</v>
      </c>
      <c r="B73" s="138" t="s">
        <v>8</v>
      </c>
      <c r="D73" s="19">
        <f>D64*Assumptions!G86</f>
        <v>-5.52</v>
      </c>
      <c r="E73" s="19">
        <f>E64*Assumptions!H86</f>
        <v>-3.1739999999999995</v>
      </c>
      <c r="F73" s="19">
        <f>F64*Assumptions!I86</f>
        <v>0</v>
      </c>
      <c r="G73" s="19">
        <f>G64*Assumptions!J86</f>
        <v>2.0440559999999999</v>
      </c>
      <c r="H73" s="19">
        <f>H64*Assumptions!K86</f>
        <v>3.5975385599999998</v>
      </c>
      <c r="I73" s="19">
        <f>I64*Assumptions!L86</f>
        <v>3.8853416448000004</v>
      </c>
      <c r="J73" s="19">
        <f>J64*Assumptions!M86</f>
        <v>4.1961689763840004</v>
      </c>
      <c r="K73" s="19">
        <f>K64*Assumptions!N86</f>
        <v>4.5318624944947201</v>
      </c>
      <c r="L73" s="19">
        <f>L64*Assumptions!O86</f>
        <v>4.8944114940542987</v>
      </c>
      <c r="M73" s="19">
        <f>M64*Assumptions!P86</f>
        <v>5.2859644135786423</v>
      </c>
      <c r="N73" s="19">
        <f>N64*Assumptions!Q86</f>
        <v>5.6031222783933616</v>
      </c>
    </row>
    <row r="74" spans="1:14" ht="15.75" customHeight="1" x14ac:dyDescent="0.25">
      <c r="A74" s="20" t="s">
        <v>219</v>
      </c>
      <c r="B74" s="139" t="s">
        <v>8</v>
      </c>
      <c r="C74" s="20"/>
      <c r="D74" s="20">
        <f t="shared" ref="D74:N74" si="15">SUM(D69:D73)</f>
        <v>2922.2140000000004</v>
      </c>
      <c r="E74" s="20">
        <f t="shared" si="15"/>
        <v>5242.1848</v>
      </c>
      <c r="F74" s="20">
        <f t="shared" si="15"/>
        <v>9310.0827199999985</v>
      </c>
      <c r="G74" s="20">
        <f t="shared" si="15"/>
        <v>15180.539762240001</v>
      </c>
      <c r="H74" s="20">
        <f t="shared" si="15"/>
        <v>22765.456473935999</v>
      </c>
      <c r="I74" s="20">
        <f t="shared" si="15"/>
        <v>31752.791252110321</v>
      </c>
      <c r="J74" s="20">
        <f t="shared" si="15"/>
        <v>41061.18509281578</v>
      </c>
      <c r="K74" s="20">
        <f t="shared" si="15"/>
        <v>51023.555431435227</v>
      </c>
      <c r="L74" s="20">
        <f t="shared" si="15"/>
        <v>59654.181859647804</v>
      </c>
      <c r="M74" s="20">
        <f t="shared" si="15"/>
        <v>67086.000075911928</v>
      </c>
      <c r="N74" s="20">
        <f t="shared" si="15"/>
        <v>71111.160080466638</v>
      </c>
    </row>
    <row r="75" spans="1:14" ht="15.75" customHeight="1" x14ac:dyDescent="0.25">
      <c r="A75" s="140" t="s">
        <v>220</v>
      </c>
      <c r="B75" s="138" t="s">
        <v>184</v>
      </c>
      <c r="D75" s="19">
        <f t="shared" ref="D75:N75" si="16">D74/D65</f>
        <v>8.482675940225029E-2</v>
      </c>
      <c r="E75" s="19">
        <f t="shared" si="16"/>
        <v>9.4485632904353883E-2</v>
      </c>
      <c r="F75" s="19">
        <f t="shared" si="16"/>
        <v>0.11202184338675182</v>
      </c>
      <c r="G75" s="19">
        <f t="shared" si="16"/>
        <v>0.1292498444247823</v>
      </c>
      <c r="H75" s="19">
        <f t="shared" si="16"/>
        <v>0.14355292983187951</v>
      </c>
      <c r="I75" s="19">
        <f t="shared" si="16"/>
        <v>0.15338348563354715</v>
      </c>
      <c r="J75" s="19">
        <f t="shared" si="16"/>
        <v>0.15863663797367958</v>
      </c>
      <c r="K75" s="19">
        <f t="shared" si="16"/>
        <v>0.16329432164333182</v>
      </c>
      <c r="L75" s="19">
        <f t="shared" si="16"/>
        <v>0.16314283438298907</v>
      </c>
      <c r="M75" s="19">
        <f t="shared" si="16"/>
        <v>0.16223003061860095</v>
      </c>
      <c r="N75" s="19">
        <f t="shared" si="16"/>
        <v>0.16223003061860092</v>
      </c>
    </row>
    <row r="77" spans="1:14" ht="15.75" customHeight="1" x14ac:dyDescent="0.25">
      <c r="A77" s="26" t="s">
        <v>222</v>
      </c>
      <c r="B77" s="138" t="s">
        <v>8</v>
      </c>
      <c r="D77" s="19">
        <f>-D65*Assumptions!G91</f>
        <v>-1033.4759999999999</v>
      </c>
      <c r="E77" s="19">
        <f>-E65*Assumptions!H91</f>
        <v>-1387.0322500000002</v>
      </c>
      <c r="F77" s="19">
        <f>-F65*Assumptions!I91</f>
        <v>-1828.4096533999998</v>
      </c>
      <c r="G77" s="19">
        <f>-G65*Assumptions!J91</f>
        <v>-2349.0225198799999</v>
      </c>
      <c r="H77" s="19">
        <f>-H65*Assumptions!K91</f>
        <v>-2854.5444318743994</v>
      </c>
      <c r="I77" s="19">
        <f>-I65*Assumptions!L91</f>
        <v>-3105.23565698316</v>
      </c>
      <c r="J77" s="19">
        <f>-J65*Assumptions!M91</f>
        <v>-3882.569526558093</v>
      </c>
      <c r="K77" s="19">
        <f>-K65*Assumptions!N91</f>
        <v>-4686.9561891026224</v>
      </c>
      <c r="L77" s="19">
        <f>-L65*Assumptions!O91</f>
        <v>-4753.5300407670456</v>
      </c>
      <c r="M77" s="19">
        <f>-M65*Assumptions!P91</f>
        <v>-5375.8111100723663</v>
      </c>
      <c r="N77" s="19">
        <f>-N65*Assumptions!Q91</f>
        <v>-5698.359776676708</v>
      </c>
    </row>
    <row r="78" spans="1:14" ht="15.75" customHeight="1" x14ac:dyDescent="0.25">
      <c r="A78" s="141" t="s">
        <v>223</v>
      </c>
      <c r="B78" s="142" t="s">
        <v>8</v>
      </c>
      <c r="C78" s="141"/>
      <c r="D78" s="141">
        <f t="shared" ref="D78:N78" si="17">D74+D77</f>
        <v>1888.7380000000005</v>
      </c>
      <c r="E78" s="141">
        <f t="shared" si="17"/>
        <v>3855.1525499999998</v>
      </c>
      <c r="F78" s="141">
        <f t="shared" si="17"/>
        <v>7481.6730665999985</v>
      </c>
      <c r="G78" s="141">
        <f t="shared" si="17"/>
        <v>12831.517242360002</v>
      </c>
      <c r="H78" s="141">
        <f t="shared" si="17"/>
        <v>19910.912042061602</v>
      </c>
      <c r="I78" s="141">
        <f t="shared" si="17"/>
        <v>28647.55559512716</v>
      </c>
      <c r="J78" s="141">
        <f t="shared" si="17"/>
        <v>37178.615566257686</v>
      </c>
      <c r="K78" s="141">
        <f t="shared" si="17"/>
        <v>46336.599242332602</v>
      </c>
      <c r="L78" s="141">
        <f t="shared" si="17"/>
        <v>54900.65181888076</v>
      </c>
      <c r="M78" s="141">
        <f t="shared" si="17"/>
        <v>61710.188965839559</v>
      </c>
      <c r="N78" s="141">
        <f t="shared" si="17"/>
        <v>65412.800303789933</v>
      </c>
    </row>
    <row r="79" spans="1:14" ht="15.75" customHeight="1" x14ac:dyDescent="0.25">
      <c r="A79" s="26" t="s">
        <v>224</v>
      </c>
      <c r="B79" s="138" t="s">
        <v>8</v>
      </c>
      <c r="D79" s="19">
        <f>-D65*Assumptions!G94</f>
        <v>-1377.9679999999998</v>
      </c>
      <c r="E79" s="19">
        <f>-E65*Assumptions!H94</f>
        <v>-2108.2890200000002</v>
      </c>
      <c r="F79" s="19">
        <f>-F65*Assumptions!I94</f>
        <v>-2991.9430691999996</v>
      </c>
      <c r="G79" s="19">
        <f>-G65*Assumptions!J94</f>
        <v>-4110.7894097899998</v>
      </c>
      <c r="H79" s="19">
        <f>-H65*Assumptions!K94</f>
        <v>-5391.9172602071994</v>
      </c>
      <c r="I79" s="19">
        <f>-I65*Assumptions!L94</f>
        <v>-6831.5184453629518</v>
      </c>
      <c r="J79" s="19">
        <f>-J65*Assumptions!M94</f>
        <v>-8541.6529584278051</v>
      </c>
      <c r="K79" s="19">
        <f>-K65*Assumptions!N94</f>
        <v>-10311.303616025771</v>
      </c>
      <c r="L79" s="19">
        <f>-L65*Assumptions!O94</f>
        <v>-12066.653180408655</v>
      </c>
      <c r="M79" s="19">
        <f>-M65*Assumptions!P94</f>
        <v>-13646.289740952931</v>
      </c>
      <c r="N79" s="19">
        <f>-N65*Assumptions!Q94</f>
        <v>-14465.067125410107</v>
      </c>
    </row>
    <row r="80" spans="1:14" ht="15.75" customHeight="1" x14ac:dyDescent="0.25">
      <c r="A80" s="20" t="s">
        <v>225</v>
      </c>
      <c r="B80" s="139" t="s">
        <v>8</v>
      </c>
      <c r="C80" s="20"/>
      <c r="D80" s="20">
        <f t="shared" ref="D80:N80" si="18">D78+D79</f>
        <v>510.77000000000066</v>
      </c>
      <c r="E80" s="20">
        <f t="shared" si="18"/>
        <v>1746.8635299999996</v>
      </c>
      <c r="F80" s="20">
        <f t="shared" si="18"/>
        <v>4489.7299973999989</v>
      </c>
      <c r="G80" s="20">
        <f t="shared" si="18"/>
        <v>8720.7278325700026</v>
      </c>
      <c r="H80" s="20">
        <f t="shared" si="18"/>
        <v>14518.994781854402</v>
      </c>
      <c r="I80" s="20">
        <f t="shared" si="18"/>
        <v>21816.037149764208</v>
      </c>
      <c r="J80" s="20">
        <f t="shared" si="18"/>
        <v>28636.962607829882</v>
      </c>
      <c r="K80" s="20">
        <f t="shared" si="18"/>
        <v>36025.295626306834</v>
      </c>
      <c r="L80" s="20">
        <f t="shared" si="18"/>
        <v>42833.998638472105</v>
      </c>
      <c r="M80" s="20">
        <f t="shared" si="18"/>
        <v>48063.899224886627</v>
      </c>
      <c r="N80" s="20">
        <f t="shared" si="18"/>
        <v>50947.733178379829</v>
      </c>
    </row>
    <row r="81" spans="1:14" ht="15.75" customHeight="1" x14ac:dyDescent="0.25">
      <c r="A81" s="140" t="s">
        <v>226</v>
      </c>
      <c r="B81" s="138" t="s">
        <v>184</v>
      </c>
      <c r="D81" s="19">
        <f t="shared" ref="D81:N81" si="19">D80/D65</f>
        <v>1.482675940225029E-2</v>
      </c>
      <c r="E81" s="19">
        <f t="shared" si="19"/>
        <v>3.1485632904353876E-2</v>
      </c>
      <c r="F81" s="19">
        <f t="shared" si="19"/>
        <v>5.4021843386751818E-2</v>
      </c>
      <c r="G81" s="19">
        <f t="shared" si="19"/>
        <v>7.4249844424782288E-2</v>
      </c>
      <c r="H81" s="19">
        <f t="shared" si="19"/>
        <v>9.1552929831879501E-2</v>
      </c>
      <c r="I81" s="19">
        <f t="shared" si="19"/>
        <v>0.10538348563354713</v>
      </c>
      <c r="J81" s="19">
        <f t="shared" si="19"/>
        <v>0.11063663797367958</v>
      </c>
      <c r="K81" s="19">
        <f t="shared" si="19"/>
        <v>0.11529432164333181</v>
      </c>
      <c r="L81" s="19">
        <f t="shared" si="19"/>
        <v>0.11714283438298909</v>
      </c>
      <c r="M81" s="19">
        <f t="shared" si="19"/>
        <v>0.11623003061860093</v>
      </c>
      <c r="N81" s="19">
        <f t="shared" si="19"/>
        <v>0.11623003061860093</v>
      </c>
    </row>
    <row r="82" spans="1:14" ht="15.75" customHeight="1" x14ac:dyDescent="0.25">
      <c r="A82" s="26" t="s">
        <v>227</v>
      </c>
      <c r="B82" s="138" t="s">
        <v>8</v>
      </c>
      <c r="D82" s="19">
        <f>-MAX(D80,0)*Assumptions!G103</f>
        <v>0</v>
      </c>
      <c r="E82" s="19">
        <f>-MAX(E80,0)*Assumptions!H103</f>
        <v>0</v>
      </c>
      <c r="F82" s="19">
        <f>-MAX(F80,0)*Assumptions!I103</f>
        <v>-359.17839979199994</v>
      </c>
      <c r="G82" s="19">
        <f>-MAX(G80,0)*Assumptions!J103</f>
        <v>-1308.1091748855004</v>
      </c>
      <c r="H82" s="19">
        <f>-MAX(H80,0)*Assumptions!K103</f>
        <v>-2903.7989563708807</v>
      </c>
      <c r="I82" s="19">
        <f>-MAX(I80,0)*Assumptions!L103</f>
        <v>-5497.6413617405806</v>
      </c>
      <c r="J82" s="19">
        <f>-MAX(J80,0)*Assumptions!M103</f>
        <v>-7216.5145771731304</v>
      </c>
      <c r="K82" s="19">
        <f>-MAX(K80,0)*Assumptions!N103</f>
        <v>-9078.3744978293216</v>
      </c>
      <c r="L82" s="19">
        <f>-MAX(L80,0)*Assumptions!O103</f>
        <v>-10794.16765689497</v>
      </c>
      <c r="M82" s="19">
        <f>-MAX(M80,0)*Assumptions!P103</f>
        <v>-12112.102604671431</v>
      </c>
      <c r="N82" s="19">
        <f>-MAX(N80,0)*Assumptions!Q103</f>
        <v>-12838.828760951717</v>
      </c>
    </row>
    <row r="83" spans="1:14" ht="15.75" customHeight="1" x14ac:dyDescent="0.25">
      <c r="A83" s="141" t="s">
        <v>228</v>
      </c>
      <c r="B83" s="142" t="s">
        <v>8</v>
      </c>
      <c r="C83" s="141"/>
      <c r="D83" s="141">
        <f t="shared" ref="D83:N83" si="20">D80+D82</f>
        <v>510.77000000000066</v>
      </c>
      <c r="E83" s="141">
        <f t="shared" si="20"/>
        <v>1746.8635299999996</v>
      </c>
      <c r="F83" s="141">
        <f t="shared" si="20"/>
        <v>4130.5515976079987</v>
      </c>
      <c r="G83" s="141">
        <f t="shared" si="20"/>
        <v>7412.6186576845021</v>
      </c>
      <c r="H83" s="141">
        <f t="shared" si="20"/>
        <v>11615.195825483523</v>
      </c>
      <c r="I83" s="141">
        <f t="shared" si="20"/>
        <v>16318.395788023627</v>
      </c>
      <c r="J83" s="141">
        <f t="shared" si="20"/>
        <v>21420.448030656753</v>
      </c>
      <c r="K83" s="141">
        <f t="shared" si="20"/>
        <v>26946.921128477512</v>
      </c>
      <c r="L83" s="141">
        <f t="shared" si="20"/>
        <v>32039.830981577135</v>
      </c>
      <c r="M83" s="141">
        <f t="shared" si="20"/>
        <v>35951.796620215195</v>
      </c>
      <c r="N83" s="141">
        <f t="shared" si="20"/>
        <v>38108.904417428115</v>
      </c>
    </row>
    <row r="84" spans="1:14" ht="15.75" customHeight="1" x14ac:dyDescent="0.25">
      <c r="A84" s="26" t="s">
        <v>229</v>
      </c>
      <c r="B84" s="138" t="s">
        <v>8</v>
      </c>
      <c r="D84" s="19">
        <f t="shared" ref="D84:N84" si="21">-D79</f>
        <v>1377.9679999999998</v>
      </c>
      <c r="E84" s="19">
        <f t="shared" si="21"/>
        <v>2108.2890200000002</v>
      </c>
      <c r="F84" s="19">
        <f t="shared" si="21"/>
        <v>2991.9430691999996</v>
      </c>
      <c r="G84" s="19">
        <f t="shared" si="21"/>
        <v>4110.7894097899998</v>
      </c>
      <c r="H84" s="19">
        <f t="shared" si="21"/>
        <v>5391.9172602071994</v>
      </c>
      <c r="I84" s="19">
        <f t="shared" si="21"/>
        <v>6831.5184453629518</v>
      </c>
      <c r="J84" s="19">
        <f t="shared" si="21"/>
        <v>8541.6529584278051</v>
      </c>
      <c r="K84" s="19">
        <f t="shared" si="21"/>
        <v>10311.303616025771</v>
      </c>
      <c r="L84" s="19">
        <f t="shared" si="21"/>
        <v>12066.653180408655</v>
      </c>
      <c r="M84" s="19">
        <f t="shared" si="21"/>
        <v>13646.289740952931</v>
      </c>
      <c r="N84" s="19">
        <f t="shared" si="21"/>
        <v>14465.067125410107</v>
      </c>
    </row>
    <row r="85" spans="1:14" ht="15.75" customHeight="1" x14ac:dyDescent="0.25">
      <c r="A85" s="26" t="s">
        <v>230</v>
      </c>
      <c r="B85" s="138" t="s">
        <v>8</v>
      </c>
      <c r="D85" s="19">
        <f>-D65*Assumptions!G97</f>
        <v>-1722.46</v>
      </c>
      <c r="E85" s="19">
        <f>-E65*Assumptions!H97</f>
        <v>-2496.65805</v>
      </c>
      <c r="F85" s="19">
        <f>-F65*Assumptions!I97</f>
        <v>-3324.3811879999998</v>
      </c>
      <c r="G85" s="19">
        <f>-G65*Assumptions!J97</f>
        <v>-4110.7894097899998</v>
      </c>
      <c r="H85" s="19">
        <f>-H65*Assumptions!K97</f>
        <v>-5233.3314584363989</v>
      </c>
      <c r="I85" s="19">
        <f>-I65*Assumptions!L97</f>
        <v>-6210.4713139663199</v>
      </c>
      <c r="J85" s="19">
        <f>-J65*Assumptions!M97</f>
        <v>-7765.139053116186</v>
      </c>
      <c r="K85" s="19">
        <f>-K65*Assumptions!N97</f>
        <v>-9373.9123782052447</v>
      </c>
      <c r="L85" s="19">
        <f>-L65*Assumptions!O97</f>
        <v>-10969.684709462412</v>
      </c>
      <c r="M85" s="19">
        <f>-M65*Assumptions!P97</f>
        <v>-12405.717946320845</v>
      </c>
      <c r="N85" s="19">
        <f>-N65*Assumptions!Q97</f>
        <v>-13150.061023100096</v>
      </c>
    </row>
    <row r="86" spans="1:14" ht="15.75" customHeight="1" thickBot="1" x14ac:dyDescent="0.3">
      <c r="A86" s="26" t="s">
        <v>231</v>
      </c>
      <c r="B86" s="138" t="s">
        <v>8</v>
      </c>
      <c r="D86" s="19">
        <f>-(D65-C65)*Assumptions!G100</f>
        <v>-994.43399999999986</v>
      </c>
      <c r="E86" s="19">
        <f>-(E65-D65)*Assumptions!H100</f>
        <v>-1472.2463000000005</v>
      </c>
      <c r="F86" s="19">
        <f>-(F65-E65)*Assumptions!I100</f>
        <v>-1657.6943819999999</v>
      </c>
      <c r="G86" s="19">
        <f>-(G65-F65)*Assumptions!J100</f>
        <v>-2060.4957776399992</v>
      </c>
      <c r="H86" s="19">
        <f>-(H65-G65)*Assumptions!K100</f>
        <v>-2056.7337888399993</v>
      </c>
      <c r="I86" s="19">
        <f>-(I65-H65)*Assumptions!L100</f>
        <v>-2421.4954347372013</v>
      </c>
      <c r="J86" s="19">
        <f>-(J65-I65)*Assumptions!M100</f>
        <v>-2591.112898583111</v>
      </c>
      <c r="K86" s="19">
        <f>-(K65-J65)*Assumptions!N100</f>
        <v>-2145.0311001187461</v>
      </c>
      <c r="L86" s="19">
        <f>-(L65-K65)*Assumptions!O100</f>
        <v>-2127.696441676223</v>
      </c>
      <c r="M86" s="19">
        <f>-(M65-L65)*Assumptions!P100</f>
        <v>-1914.7109824779095</v>
      </c>
      <c r="N86" s="19">
        <f>-(N65-M65)*Assumptions!Q100</f>
        <v>-992.45743570566879</v>
      </c>
    </row>
    <row r="87" spans="1:14" ht="15.75" customHeight="1" x14ac:dyDescent="0.25">
      <c r="A87" s="143" t="s">
        <v>232</v>
      </c>
      <c r="B87" s="144" t="s">
        <v>8</v>
      </c>
      <c r="C87" s="143"/>
      <c r="D87" s="143">
        <f t="shared" ref="D87:N87" si="22">D83+D84+D85+D86</f>
        <v>-828.15599999999938</v>
      </c>
      <c r="E87" s="143">
        <f t="shared" si="22"/>
        <v>-113.75180000000069</v>
      </c>
      <c r="F87" s="143">
        <f t="shared" si="22"/>
        <v>2140.4190968079984</v>
      </c>
      <c r="G87" s="143">
        <f t="shared" si="22"/>
        <v>5352.1228800445024</v>
      </c>
      <c r="H87" s="143">
        <f t="shared" si="22"/>
        <v>9717.0478384143244</v>
      </c>
      <c r="I87" s="143">
        <f t="shared" si="22"/>
        <v>14517.94748468306</v>
      </c>
      <c r="J87" s="143">
        <f t="shared" si="22"/>
        <v>19605.849037385262</v>
      </c>
      <c r="K87" s="143">
        <f t="shared" si="22"/>
        <v>25739.281266179292</v>
      </c>
      <c r="L87" s="143">
        <f t="shared" si="22"/>
        <v>31009.103010847157</v>
      </c>
      <c r="M87" s="143">
        <f t="shared" si="22"/>
        <v>35277.657432369371</v>
      </c>
      <c r="N87" s="143">
        <f t="shared" si="22"/>
        <v>38431.453084032451</v>
      </c>
    </row>
    <row r="88" spans="1:14" ht="15.75" customHeight="1" x14ac:dyDescent="0.25">
      <c r="A88" s="140" t="s">
        <v>233</v>
      </c>
      <c r="B88" s="138" t="s">
        <v>184</v>
      </c>
      <c r="D88" s="19">
        <f t="shared" ref="D88:N88" si="23">D87/D65</f>
        <v>-2.4039919649803173E-2</v>
      </c>
      <c r="E88" s="19">
        <f t="shared" si="23"/>
        <v>-2.0502731641603988E-3</v>
      </c>
      <c r="F88" s="19">
        <f t="shared" si="23"/>
        <v>2.5754195752692347E-2</v>
      </c>
      <c r="G88" s="19">
        <f t="shared" si="23"/>
        <v>4.5568936310733339E-2</v>
      </c>
      <c r="H88" s="19">
        <f t="shared" si="23"/>
        <v>6.1273126155758424E-2</v>
      </c>
      <c r="I88" s="19">
        <f t="shared" si="23"/>
        <v>7.0129689442577109E-2</v>
      </c>
      <c r="J88" s="19">
        <f t="shared" si="23"/>
        <v>7.5745645647584417E-2</v>
      </c>
      <c r="K88" s="19">
        <f t="shared" si="23"/>
        <v>8.2375256651718576E-2</v>
      </c>
      <c r="L88" s="19">
        <f t="shared" si="23"/>
        <v>8.4803995280098091E-2</v>
      </c>
      <c r="M88" s="19">
        <f t="shared" si="23"/>
        <v>8.5309832736036789E-2</v>
      </c>
      <c r="N88" s="19">
        <f t="shared" si="23"/>
        <v>8.767591195931726E-2</v>
      </c>
    </row>
    <row r="90" spans="1:14" ht="15.75" customHeight="1" x14ac:dyDescent="0.25">
      <c r="A90" s="140" t="s">
        <v>235</v>
      </c>
      <c r="B90" s="138" t="s">
        <v>236</v>
      </c>
      <c r="D90" s="145">
        <v>1</v>
      </c>
      <c r="E90" s="145">
        <f t="shared" ref="E90:M90" si="24">D90+1</f>
        <v>2</v>
      </c>
      <c r="F90" s="145">
        <f t="shared" si="24"/>
        <v>3</v>
      </c>
      <c r="G90" s="145">
        <f t="shared" si="24"/>
        <v>4</v>
      </c>
      <c r="H90" s="145">
        <f t="shared" si="24"/>
        <v>5</v>
      </c>
      <c r="I90" s="145">
        <f t="shared" si="24"/>
        <v>6</v>
      </c>
      <c r="J90" s="145">
        <f t="shared" si="24"/>
        <v>7</v>
      </c>
      <c r="K90" s="145">
        <f t="shared" si="24"/>
        <v>8</v>
      </c>
      <c r="L90" s="145">
        <f t="shared" si="24"/>
        <v>9</v>
      </c>
      <c r="M90" s="145">
        <f t="shared" si="24"/>
        <v>10</v>
      </c>
    </row>
    <row r="91" spans="1:14" ht="15.75" customHeight="1" x14ac:dyDescent="0.25">
      <c r="A91" s="140" t="s">
        <v>237</v>
      </c>
      <c r="B91" s="138" t="s">
        <v>187</v>
      </c>
      <c r="D91" s="145">
        <f>1/(1+Assumptions!$U$24)^D90</f>
        <v>0.89271951295414709</v>
      </c>
      <c r="E91" s="145">
        <f>1/(1+Assumptions!$U$24)^E90</f>
        <v>0.79694812880908972</v>
      </c>
      <c r="F91" s="145">
        <f>1/(1+Assumptions!$U$24)^F90</f>
        <v>0.7114511454001694</v>
      </c>
      <c r="G91" s="145">
        <f>1/(1+Assumptions!$U$24)^G90</f>
        <v>0.6351263200123094</v>
      </c>
      <c r="H91" s="145">
        <f>1/(1+Assumptions!$U$24)^H90</f>
        <v>0.56698965906574872</v>
      </c>
      <c r="I91" s="145">
        <f>1/(1+Assumptions!$U$24)^I90</f>
        <v>0.50616273229121311</v>
      </c>
      <c r="J91" s="145">
        <f>1/(1+Assumptions!$U$24)^J90</f>
        <v>0.45186134784655207</v>
      </c>
      <c r="K91" s="145">
        <f>1/(1+Assumptions!$U$24)^K90</f>
        <v>0.40338544237237844</v>
      </c>
      <c r="L91" s="145">
        <f>1/(1+Assumptions!$U$24)^L90</f>
        <v>0.3601100556474629</v>
      </c>
      <c r="M91" s="145">
        <f>1/(1+Assumptions!$U$24)^M90</f>
        <v>0.32147727348749389</v>
      </c>
    </row>
    <row r="92" spans="1:14" ht="15.75" customHeight="1" x14ac:dyDescent="0.25">
      <c r="A92" s="20" t="s">
        <v>238</v>
      </c>
      <c r="B92" s="139" t="s">
        <v>8</v>
      </c>
      <c r="C92" s="20"/>
      <c r="D92" s="20">
        <f t="shared" ref="D92:M92" si="25">D87*D91</f>
        <v>-739.31102097005407</v>
      </c>
      <c r="E92" s="20">
        <f t="shared" si="25"/>
        <v>-90.654284158666357</v>
      </c>
      <c r="F92" s="20">
        <f t="shared" si="25"/>
        <v>1522.8036180604465</v>
      </c>
      <c r="G92" s="20">
        <f t="shared" si="25"/>
        <v>3399.2741090563477</v>
      </c>
      <c r="H92" s="20">
        <f t="shared" si="25"/>
        <v>5509.4656410281086</v>
      </c>
      <c r="I92" s="20">
        <f t="shared" si="25"/>
        <v>7348.4439661075221</v>
      </c>
      <c r="J92" s="20">
        <f t="shared" si="25"/>
        <v>8859.1253717089294</v>
      </c>
      <c r="K92" s="20">
        <f t="shared" si="25"/>
        <v>10382.851359904807</v>
      </c>
      <c r="L92" s="20">
        <f t="shared" si="25"/>
        <v>11166.689810814079</v>
      </c>
      <c r="M92" s="20">
        <f t="shared" si="25"/>
        <v>11340.96512638393</v>
      </c>
      <c r="N92" s="20"/>
    </row>
    <row r="94" spans="1:14" ht="15.75" customHeight="1" x14ac:dyDescent="0.25">
      <c r="A94" s="146" t="s">
        <v>240</v>
      </c>
      <c r="B94" s="138" t="s">
        <v>8</v>
      </c>
      <c r="D94" s="19">
        <f>SUM(D92:M92)</f>
        <v>58699.653697935457</v>
      </c>
    </row>
    <row r="95" spans="1:14" ht="15.75" customHeight="1" x14ac:dyDescent="0.25">
      <c r="A95" s="26" t="s">
        <v>241</v>
      </c>
      <c r="B95" s="138" t="s">
        <v>8</v>
      </c>
      <c r="D95" s="19">
        <f>M87*(1+Assumptions!$U$28)</f>
        <v>37394.316878311532</v>
      </c>
    </row>
    <row r="96" spans="1:14" ht="15.75" customHeight="1" x14ac:dyDescent="0.25">
      <c r="A96" s="26" t="s">
        <v>242</v>
      </c>
      <c r="B96" s="138" t="s">
        <v>8</v>
      </c>
      <c r="D96" s="19">
        <f>D95/(Assumptions!$U$24-Assumptions!$U$28)</f>
        <v>621450.18905887287</v>
      </c>
    </row>
    <row r="97" spans="1:14" ht="15.75" customHeight="1" x14ac:dyDescent="0.25">
      <c r="A97" s="146" t="s">
        <v>243</v>
      </c>
      <c r="B97" s="138" t="s">
        <v>8</v>
      </c>
      <c r="D97" s="19">
        <f>D96/(1+Assumptions!$U$24)^Assumptions!$F$27</f>
        <v>199782.11238693408</v>
      </c>
    </row>
    <row r="98" spans="1:14" ht="15.75" customHeight="1" x14ac:dyDescent="0.25">
      <c r="A98" s="20" t="s">
        <v>244</v>
      </c>
      <c r="B98" s="139" t="s">
        <v>8</v>
      </c>
      <c r="C98" s="20"/>
      <c r="D98" s="20">
        <f>D94+D97</f>
        <v>258481.76608486954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spans="1:14" ht="15.75" customHeight="1" x14ac:dyDescent="0.25">
      <c r="A99" s="26" t="s">
        <v>245</v>
      </c>
      <c r="B99" s="138" t="s">
        <v>8</v>
      </c>
      <c r="D99" s="19">
        <f>-Assumptions!$F$10</f>
        <v>-2045</v>
      </c>
    </row>
    <row r="100" spans="1:14" ht="15.75" customHeight="1" thickBot="1" x14ac:dyDescent="0.3">
      <c r="A100" s="26" t="s">
        <v>246</v>
      </c>
      <c r="B100" s="138" t="s">
        <v>8</v>
      </c>
      <c r="D100" s="19">
        <f>Assumptions!$F$11</f>
        <v>16806</v>
      </c>
    </row>
    <row r="101" spans="1:14" ht="15.75" customHeight="1" x14ac:dyDescent="0.25">
      <c r="A101" s="143" t="s">
        <v>247</v>
      </c>
      <c r="B101" s="144" t="s">
        <v>8</v>
      </c>
      <c r="C101" s="143"/>
      <c r="D101" s="143">
        <f>D98+D99+D100</f>
        <v>273242.76608486951</v>
      </c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</row>
    <row r="102" spans="1:14" ht="15.75" customHeight="1" x14ac:dyDescent="0.25">
      <c r="A102" s="26" t="s">
        <v>176</v>
      </c>
      <c r="B102" s="138" t="s">
        <v>177</v>
      </c>
      <c r="D102" s="19">
        <f>Assumptions!$F$8</f>
        <v>951.5</v>
      </c>
    </row>
    <row r="103" spans="1:14" ht="15.75" customHeight="1" x14ac:dyDescent="0.25">
      <c r="A103" s="146" t="s">
        <v>248</v>
      </c>
      <c r="B103" s="138" t="s">
        <v>90</v>
      </c>
      <c r="D103" s="19">
        <f>D101/D102</f>
        <v>287.17053713596374</v>
      </c>
    </row>
    <row r="104" spans="1:14" ht="15.75" customHeight="1" x14ac:dyDescent="0.25">
      <c r="A104" s="26" t="s">
        <v>249</v>
      </c>
      <c r="B104" s="138" t="s">
        <v>90</v>
      </c>
      <c r="D104" s="19">
        <f>Assumptions!$F$7</f>
        <v>251</v>
      </c>
    </row>
    <row r="105" spans="1:14" ht="15.75" customHeight="1" thickBot="1" x14ac:dyDescent="0.3">
      <c r="A105" s="147" t="s">
        <v>250</v>
      </c>
      <c r="B105" s="148" t="s">
        <v>184</v>
      </c>
      <c r="C105" s="147"/>
      <c r="D105" s="147">
        <f>D103/D104-1</f>
        <v>0.14410572564128987</v>
      </c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</row>
    <row r="108" spans="1:14" ht="20.100000000000001" customHeight="1" x14ac:dyDescent="0.25">
      <c r="A108" s="126" t="s">
        <v>273</v>
      </c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</row>
    <row r="110" spans="1:14" ht="15.75" customHeight="1" x14ac:dyDescent="0.25">
      <c r="A110" s="137" t="s">
        <v>215</v>
      </c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</row>
    <row r="111" spans="1:14" ht="15.75" customHeight="1" x14ac:dyDescent="0.25">
      <c r="A111" s="26" t="s">
        <v>200</v>
      </c>
      <c r="B111" s="138" t="s">
        <v>8</v>
      </c>
      <c r="C111" s="19">
        <f>DCF!F7</f>
        <v>8080</v>
      </c>
      <c r="D111" s="19">
        <f>C111*(1+Assumptions!G58)</f>
        <v>9696</v>
      </c>
      <c r="E111" s="19">
        <f>D111*(1+Assumptions!H58)</f>
        <v>11344.32</v>
      </c>
      <c r="F111" s="19">
        <f>E111*(1+Assumptions!I58)</f>
        <v>12932.524800000001</v>
      </c>
      <c r="G111" s="19">
        <f>F111*(1+Assumptions!J58)</f>
        <v>14484.427776000002</v>
      </c>
      <c r="H111" s="19">
        <f>G111*(1+Assumptions!K58)</f>
        <v>15932.870553600003</v>
      </c>
      <c r="I111" s="19">
        <f>H111*(1+Assumptions!L58)</f>
        <v>17366.828903424004</v>
      </c>
      <c r="J111" s="19">
        <f>I111*(1+Assumptions!M58)</f>
        <v>18756.175215697927</v>
      </c>
      <c r="K111" s="19">
        <f>J111*(1+Assumptions!N58)</f>
        <v>20069.107480796785</v>
      </c>
      <c r="L111" s="19">
        <f>K111*(1+Assumptions!O58)</f>
        <v>21273.253929644594</v>
      </c>
      <c r="M111" s="19">
        <f>L111*(1+Assumptions!P58)</f>
        <v>22336.916626126826</v>
      </c>
      <c r="N111" s="19">
        <f>M111*(1+Assumptions!Q58)</f>
        <v>23230.393291171898</v>
      </c>
    </row>
    <row r="112" spans="1:14" ht="15.75" customHeight="1" x14ac:dyDescent="0.25">
      <c r="A112" s="26" t="s">
        <v>201</v>
      </c>
      <c r="B112" s="138" t="s">
        <v>8</v>
      </c>
      <c r="C112" s="19">
        <f>DCF!F8</f>
        <v>6196</v>
      </c>
      <c r="D112" s="19">
        <f>C112*(1+Assumptions!G61)</f>
        <v>9294</v>
      </c>
      <c r="E112" s="19">
        <f>D112*(1+Assumptions!H61)</f>
        <v>13011.599999999999</v>
      </c>
      <c r="F112" s="19">
        <f>E112*(1+Assumptions!I61)</f>
        <v>16654.847999999998</v>
      </c>
      <c r="G112" s="19">
        <f>F112*(1+Assumptions!J61)</f>
        <v>20318.914559999997</v>
      </c>
      <c r="H112" s="19">
        <f>G112*(1+Assumptions!K61)</f>
        <v>23976.319180799997</v>
      </c>
      <c r="I112" s="19">
        <f>H112*(1+Assumptions!L61)</f>
        <v>27572.767057919995</v>
      </c>
      <c r="J112" s="19">
        <f>I112*(1+Assumptions!M61)</f>
        <v>30881.499104870396</v>
      </c>
      <c r="K112" s="19">
        <f>J112*(1+Assumptions!N61)</f>
        <v>33969.649015357441</v>
      </c>
      <c r="L112" s="19">
        <f>K112*(1+Assumptions!O61)</f>
        <v>36687.22093658604</v>
      </c>
      <c r="M112" s="19">
        <f>L112*(1+Assumptions!P61)</f>
        <v>38888.454192781202</v>
      </c>
      <c r="N112" s="19">
        <f>M112*(1+Assumptions!Q61)</f>
        <v>40443.992360492455</v>
      </c>
    </row>
    <row r="113" spans="1:14" ht="15.75" customHeight="1" x14ac:dyDescent="0.25">
      <c r="A113" s="26" t="s">
        <v>202</v>
      </c>
      <c r="B113" s="138" t="s">
        <v>8</v>
      </c>
      <c r="C113" s="19">
        <f>DCF!F9</f>
        <v>5206</v>
      </c>
      <c r="D113" s="19">
        <f>C113*(1+Assumptions!G64)</f>
        <v>9370.8000000000011</v>
      </c>
      <c r="E113" s="19">
        <f>D113*(1+Assumptions!H64)</f>
        <v>14993.280000000002</v>
      </c>
      <c r="F113" s="19">
        <f>E113*(1+Assumptions!I64)</f>
        <v>20990.592000000001</v>
      </c>
      <c r="G113" s="19">
        <f>F113*(1+Assumptions!J64)</f>
        <v>26867.957760000001</v>
      </c>
      <c r="H113" s="19">
        <f>G113*(1+Assumptions!K64)</f>
        <v>32241.549311999999</v>
      </c>
      <c r="I113" s="19">
        <f>H113*(1+Assumptions!L64)</f>
        <v>37077.781708799994</v>
      </c>
      <c r="J113" s="19">
        <f>I113*(1+Assumptions!M64)</f>
        <v>41527.115513855999</v>
      </c>
      <c r="K113" s="19">
        <f>J113*(1+Assumptions!N64)</f>
        <v>45679.827065241603</v>
      </c>
      <c r="L113" s="19">
        <f>K113*(1+Assumptions!O64)</f>
        <v>49334.213230460933</v>
      </c>
      <c r="M113" s="19">
        <f>L113*(1+Assumptions!P64)</f>
        <v>52294.26602428859</v>
      </c>
      <c r="N113" s="19">
        <f>M113*(1+Assumptions!Q64)</f>
        <v>54386.036665260137</v>
      </c>
    </row>
    <row r="114" spans="1:14" ht="15.75" customHeight="1" x14ac:dyDescent="0.25">
      <c r="A114" s="26" t="s">
        <v>203</v>
      </c>
      <c r="B114" s="138" t="s">
        <v>8</v>
      </c>
      <c r="C114" s="19">
        <f>DCF!F10</f>
        <v>737</v>
      </c>
      <c r="D114" s="19">
        <f>C114*(1+Assumptions!G67)</f>
        <v>1326.6000000000001</v>
      </c>
      <c r="E114" s="19">
        <f>D114*(1+Assumptions!H67)</f>
        <v>2056.2300000000005</v>
      </c>
      <c r="F114" s="19">
        <f>E114*(1+Assumptions!I67)</f>
        <v>2775.9105000000009</v>
      </c>
      <c r="G114" s="19">
        <f>F114*(1+Assumptions!J67)</f>
        <v>3386.610810000001</v>
      </c>
      <c r="H114" s="19">
        <f>G114*(1+Assumptions!K67)</f>
        <v>3894.6024315000009</v>
      </c>
      <c r="I114" s="19">
        <f>H114*(1+Assumptions!L67)</f>
        <v>4361.9547232800014</v>
      </c>
      <c r="J114" s="19">
        <f>I114*(1+Assumptions!M67)</f>
        <v>4798.1501956080019</v>
      </c>
      <c r="K114" s="19">
        <f>J114*(1+Assumptions!N67)</f>
        <v>5182.0022112566421</v>
      </c>
      <c r="L114" s="19">
        <f>K114*(1+Assumptions!O67)</f>
        <v>5492.9223439320413</v>
      </c>
      <c r="M114" s="19">
        <f>L114*(1+Assumptions!P67)</f>
        <v>5767.5684611286433</v>
      </c>
      <c r="N114" s="19">
        <f>M114*(1+Assumptions!Q67)</f>
        <v>5998.2711995737891</v>
      </c>
    </row>
    <row r="115" spans="1:14" ht="15.75" customHeight="1" x14ac:dyDescent="0.25">
      <c r="A115" s="26" t="s">
        <v>204</v>
      </c>
      <c r="B115" s="138" t="s">
        <v>8</v>
      </c>
      <c r="C115" s="19">
        <f>DCF!F11</f>
        <v>24</v>
      </c>
      <c r="D115" s="19">
        <f>C115*(1+Assumptions!G70)</f>
        <v>25.92</v>
      </c>
      <c r="E115" s="19">
        <f>D115*(1+Assumptions!H70)</f>
        <v>27.993600000000004</v>
      </c>
      <c r="F115" s="19">
        <f>E115*(1+Assumptions!I70)</f>
        <v>29.393280000000004</v>
      </c>
      <c r="G115" s="19">
        <f>F115*(1+Assumptions!J70)</f>
        <v>30.862944000000006</v>
      </c>
      <c r="H115" s="19">
        <f>G115*(1+Assumptions!K70)</f>
        <v>32.406091200000006</v>
      </c>
      <c r="I115" s="19">
        <f>H115*(1+Assumptions!L70)</f>
        <v>33.702334848000007</v>
      </c>
      <c r="J115" s="19">
        <f>I115*(1+Assumptions!M70)</f>
        <v>35.050428241920009</v>
      </c>
      <c r="K115" s="19">
        <f>J115*(1+Assumptions!N70)</f>
        <v>36.452445371596809</v>
      </c>
      <c r="L115" s="19">
        <f>K115*(1+Assumptions!O70)</f>
        <v>37.910543186460686</v>
      </c>
      <c r="M115" s="19">
        <f>L115*(1+Assumptions!P70)</f>
        <v>39.426964913919115</v>
      </c>
      <c r="N115" s="19">
        <f>M115*(1+Assumptions!Q70)</f>
        <v>41.004043510475881</v>
      </c>
    </row>
    <row r="116" spans="1:14" ht="15.75" customHeight="1" x14ac:dyDescent="0.25">
      <c r="A116" s="20" t="s">
        <v>216</v>
      </c>
      <c r="B116" s="139" t="s">
        <v>8</v>
      </c>
      <c r="C116" s="20">
        <f t="shared" ref="C116:N116" si="26">SUM(C111:C115)</f>
        <v>20243</v>
      </c>
      <c r="D116" s="20">
        <f t="shared" si="26"/>
        <v>29713.32</v>
      </c>
      <c r="E116" s="20">
        <f t="shared" si="26"/>
        <v>41433.423600000002</v>
      </c>
      <c r="F116" s="20">
        <f t="shared" si="26"/>
        <v>53383.268579999996</v>
      </c>
      <c r="G116" s="20">
        <f t="shared" si="26"/>
        <v>65088.773850000005</v>
      </c>
      <c r="H116" s="20">
        <f t="shared" si="26"/>
        <v>76077.7475691</v>
      </c>
      <c r="I116" s="20">
        <f t="shared" si="26"/>
        <v>86413.034728271989</v>
      </c>
      <c r="J116" s="20">
        <f t="shared" si="26"/>
        <v>95997.990458274246</v>
      </c>
      <c r="K116" s="20">
        <f t="shared" si="26"/>
        <v>104937.03821802406</v>
      </c>
      <c r="L116" s="20">
        <f t="shared" si="26"/>
        <v>112825.52098381006</v>
      </c>
      <c r="M116" s="20">
        <f t="shared" si="26"/>
        <v>119326.63226923917</v>
      </c>
      <c r="N116" s="20">
        <f t="shared" si="26"/>
        <v>124099.69756000876</v>
      </c>
    </row>
    <row r="117" spans="1:14" ht="15.75" customHeight="1" x14ac:dyDescent="0.25">
      <c r="A117" s="140" t="s">
        <v>217</v>
      </c>
      <c r="B117" s="138" t="s">
        <v>184</v>
      </c>
      <c r="D117" s="19">
        <f t="shared" ref="D117:N117" si="27">D116/C116-1</f>
        <v>0.46783184310625892</v>
      </c>
      <c r="E117" s="19">
        <f t="shared" si="27"/>
        <v>0.39443938274147761</v>
      </c>
      <c r="F117" s="19">
        <f t="shared" si="27"/>
        <v>0.28841075493457402</v>
      </c>
      <c r="G117" s="19">
        <f t="shared" si="27"/>
        <v>0.2192729216731677</v>
      </c>
      <c r="H117" s="19">
        <f t="shared" si="27"/>
        <v>0.16883055355174736</v>
      </c>
      <c r="I117" s="19">
        <f t="shared" si="27"/>
        <v>0.13585164505277492</v>
      </c>
      <c r="J117" s="19">
        <f t="shared" si="27"/>
        <v>0.1109202536416225</v>
      </c>
      <c r="K117" s="19">
        <f t="shared" si="27"/>
        <v>9.3117030024031378E-2</v>
      </c>
      <c r="L117" s="19">
        <f t="shared" si="27"/>
        <v>7.5173484021879622E-2</v>
      </c>
      <c r="M117" s="19">
        <f t="shared" si="27"/>
        <v>5.7620928569538821E-2</v>
      </c>
      <c r="N117" s="19">
        <f t="shared" si="27"/>
        <v>4.0000000000000258E-2</v>
      </c>
    </row>
    <row r="119" spans="1:14" ht="15.75" customHeight="1" x14ac:dyDescent="0.25">
      <c r="A119" s="137" t="s">
        <v>218</v>
      </c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</row>
    <row r="120" spans="1:14" ht="15.75" customHeight="1" x14ac:dyDescent="0.25">
      <c r="A120" s="26" t="s">
        <v>200</v>
      </c>
      <c r="B120" s="138" t="s">
        <v>8</v>
      </c>
      <c r="D120" s="19">
        <f>D111*Assumptions!G75</f>
        <v>1842.24</v>
      </c>
      <c r="E120" s="19">
        <f>E111*Assumptions!H75</f>
        <v>2268.864</v>
      </c>
      <c r="F120" s="19">
        <f>F111*Assumptions!I75</f>
        <v>2586.5049600000002</v>
      </c>
      <c r="G120" s="19">
        <f>G111*Assumptions!J75</f>
        <v>3041.7298329600003</v>
      </c>
      <c r="H120" s="19">
        <f>H111*Assumptions!K75</f>
        <v>3345.9028162560007</v>
      </c>
      <c r="I120" s="19">
        <f>I111*Assumptions!L75</f>
        <v>3820.7023587532808</v>
      </c>
      <c r="J120" s="19">
        <f>J111*Assumptions!M75</f>
        <v>4126.3585474535439</v>
      </c>
      <c r="K120" s="19">
        <f>K111*Assumptions!N75</f>
        <v>4415.2036457752929</v>
      </c>
      <c r="L120" s="19">
        <f>L111*Assumptions!O75</f>
        <v>4680.1158645218111</v>
      </c>
      <c r="M120" s="19">
        <f>M111*Assumptions!P75</f>
        <v>4914.1216577479017</v>
      </c>
      <c r="N120" s="19">
        <f>N111*Assumptions!Q75</f>
        <v>5110.6865240578181</v>
      </c>
    </row>
    <row r="121" spans="1:14" ht="15.75" customHeight="1" x14ac:dyDescent="0.25">
      <c r="A121" s="26" t="s">
        <v>201</v>
      </c>
      <c r="B121" s="138" t="s">
        <v>8</v>
      </c>
      <c r="D121" s="19">
        <f>D112*Assumptions!G78</f>
        <v>0</v>
      </c>
      <c r="E121" s="19">
        <f>E112*Assumptions!H78</f>
        <v>0</v>
      </c>
      <c r="F121" s="19">
        <f>F112*Assumptions!I78</f>
        <v>166.54847999999998</v>
      </c>
      <c r="G121" s="19">
        <f>G112*Assumptions!J78</f>
        <v>406.37829119999998</v>
      </c>
      <c r="H121" s="19">
        <f>H112*Assumptions!K78</f>
        <v>479.52638361599998</v>
      </c>
      <c r="I121" s="19">
        <f>I112*Assumptions!L78</f>
        <v>827.18301173759983</v>
      </c>
      <c r="J121" s="19">
        <f>J112*Assumptions!M78</f>
        <v>926.44497314611181</v>
      </c>
      <c r="K121" s="19">
        <f>K112*Assumptions!N78</f>
        <v>1019.0894704607232</v>
      </c>
      <c r="L121" s="19">
        <f>L112*Assumptions!O78</f>
        <v>1100.6166280975813</v>
      </c>
      <c r="M121" s="19">
        <f>M112*Assumptions!P78</f>
        <v>1166.6536257834359</v>
      </c>
      <c r="N121" s="19">
        <f>N112*Assumptions!Q78</f>
        <v>1213.3197708147736</v>
      </c>
    </row>
    <row r="122" spans="1:14" ht="15.75" customHeight="1" x14ac:dyDescent="0.25">
      <c r="A122" s="26" t="s">
        <v>202</v>
      </c>
      <c r="B122" s="138" t="s">
        <v>8</v>
      </c>
      <c r="D122" s="19">
        <f>D113*Assumptions!G81</f>
        <v>0</v>
      </c>
      <c r="E122" s="19">
        <f>E113*Assumptions!H81</f>
        <v>299.86560000000003</v>
      </c>
      <c r="F122" s="19">
        <f>F113*Assumptions!I81</f>
        <v>839.62368000000004</v>
      </c>
      <c r="G122" s="19">
        <f>G113*Assumptions!J81</f>
        <v>1612.0774656000001</v>
      </c>
      <c r="H122" s="19">
        <f>H113*Assumptions!K81</f>
        <v>2579.3239449600001</v>
      </c>
      <c r="I122" s="19">
        <f>I113*Assumptions!L81</f>
        <v>3337.0003537919993</v>
      </c>
      <c r="J122" s="19">
        <f>J113*Assumptions!M81</f>
        <v>4152.7115513855997</v>
      </c>
      <c r="K122" s="19">
        <f>K113*Assumptions!N81</f>
        <v>5024.780977176576</v>
      </c>
      <c r="L122" s="19">
        <f>L113*Assumptions!O81</f>
        <v>5426.7634553507023</v>
      </c>
      <c r="M122" s="19">
        <f>M113*Assumptions!P81</f>
        <v>5752.3692626717448</v>
      </c>
      <c r="N122" s="19">
        <f>N113*Assumptions!Q81</f>
        <v>5982.464033178615</v>
      </c>
    </row>
    <row r="123" spans="1:14" ht="15.75" customHeight="1" x14ac:dyDescent="0.25">
      <c r="A123" s="26" t="s">
        <v>203</v>
      </c>
      <c r="B123" s="138" t="s">
        <v>8</v>
      </c>
      <c r="D123" s="19">
        <f>D114*Assumptions!G84</f>
        <v>-106.12800000000001</v>
      </c>
      <c r="E123" s="19">
        <f>E114*Assumptions!H84</f>
        <v>-102.81150000000002</v>
      </c>
      <c r="F123" s="19">
        <f>F114*Assumptions!I84</f>
        <v>-55.518210000000018</v>
      </c>
      <c r="G123" s="19">
        <f>G114*Assumptions!J84</f>
        <v>0</v>
      </c>
      <c r="H123" s="19">
        <f>H114*Assumptions!K84</f>
        <v>116.83807294500002</v>
      </c>
      <c r="I123" s="19">
        <f>I114*Assumptions!L84</f>
        <v>218.09773616400008</v>
      </c>
      <c r="J123" s="19">
        <f>J114*Assumptions!M84</f>
        <v>335.87051369256017</v>
      </c>
      <c r="K123" s="19">
        <f>K114*Assumptions!N84</f>
        <v>466.38019901309775</v>
      </c>
      <c r="L123" s="19">
        <f>L114*Assumptions!O84</f>
        <v>549.29223439320413</v>
      </c>
      <c r="M123" s="19">
        <f>M114*Assumptions!P84</f>
        <v>576.75684611286431</v>
      </c>
      <c r="N123" s="19">
        <f>N114*Assumptions!Q84</f>
        <v>599.82711995737895</v>
      </c>
    </row>
    <row r="124" spans="1:14" ht="15.75" customHeight="1" x14ac:dyDescent="0.25">
      <c r="A124" s="26" t="s">
        <v>204</v>
      </c>
      <c r="B124" s="138" t="s">
        <v>8</v>
      </c>
      <c r="D124" s="19">
        <f>D115*Assumptions!G87</f>
        <v>-10.368000000000002</v>
      </c>
      <c r="E124" s="19">
        <f>E115*Assumptions!H87</f>
        <v>-8.3980800000000002</v>
      </c>
      <c r="F124" s="19">
        <f>F115*Assumptions!I87</f>
        <v>-5.8786560000000012</v>
      </c>
      <c r="G124" s="19">
        <f>G115*Assumptions!J87</f>
        <v>-3.0862944000000008</v>
      </c>
      <c r="H124" s="19">
        <f>H115*Assumptions!K87</f>
        <v>-1.6203045600000003</v>
      </c>
      <c r="I124" s="19">
        <f>I115*Assumptions!L87</f>
        <v>0</v>
      </c>
      <c r="J124" s="19">
        <f>J115*Assumptions!M87</f>
        <v>0</v>
      </c>
      <c r="K124" s="19">
        <f>K115*Assumptions!N87</f>
        <v>0</v>
      </c>
      <c r="L124" s="19">
        <f>L115*Assumptions!O87</f>
        <v>0</v>
      </c>
      <c r="M124" s="19">
        <f>M115*Assumptions!P87</f>
        <v>0</v>
      </c>
      <c r="N124" s="19">
        <f>N115*Assumptions!Q87</f>
        <v>0</v>
      </c>
    </row>
    <row r="125" spans="1:14" ht="15.75" customHeight="1" x14ac:dyDescent="0.25">
      <c r="A125" s="20" t="s">
        <v>219</v>
      </c>
      <c r="B125" s="139" t="s">
        <v>8</v>
      </c>
      <c r="C125" s="20"/>
      <c r="D125" s="20">
        <f t="shared" ref="D125:N125" si="28">SUM(D120:D124)</f>
        <v>1725.7440000000001</v>
      </c>
      <c r="E125" s="20">
        <f t="shared" si="28"/>
        <v>2457.5200199999999</v>
      </c>
      <c r="F125" s="20">
        <f t="shared" si="28"/>
        <v>3531.2802540000002</v>
      </c>
      <c r="G125" s="20">
        <f t="shared" si="28"/>
        <v>5057.0992953600007</v>
      </c>
      <c r="H125" s="20">
        <f t="shared" si="28"/>
        <v>6519.970913217001</v>
      </c>
      <c r="I125" s="20">
        <f t="shared" si="28"/>
        <v>8202.9834604468797</v>
      </c>
      <c r="J125" s="20">
        <f t="shared" si="28"/>
        <v>9541.3855856778155</v>
      </c>
      <c r="K125" s="20">
        <f t="shared" si="28"/>
        <v>10925.454292425691</v>
      </c>
      <c r="L125" s="20">
        <f t="shared" si="28"/>
        <v>11756.7881823633</v>
      </c>
      <c r="M125" s="20">
        <f t="shared" si="28"/>
        <v>12409.901392315947</v>
      </c>
      <c r="N125" s="20">
        <f t="shared" si="28"/>
        <v>12906.297448008587</v>
      </c>
    </row>
    <row r="126" spans="1:14" ht="15.75" customHeight="1" x14ac:dyDescent="0.25">
      <c r="A126" s="140" t="s">
        <v>220</v>
      </c>
      <c r="B126" s="138" t="s">
        <v>184</v>
      </c>
      <c r="D126" s="19">
        <f t="shared" ref="D126:N126" si="29">D125/D116</f>
        <v>5.807981067076988E-2</v>
      </c>
      <c r="E126" s="19">
        <f t="shared" si="29"/>
        <v>5.9312501996576499E-2</v>
      </c>
      <c r="F126" s="19">
        <f t="shared" si="29"/>
        <v>6.614956985460782E-2</v>
      </c>
      <c r="G126" s="19">
        <f t="shared" si="29"/>
        <v>7.7695414988371306E-2</v>
      </c>
      <c r="H126" s="19">
        <f t="shared" si="29"/>
        <v>8.5701418897753678E-2</v>
      </c>
      <c r="I126" s="19">
        <f t="shared" si="29"/>
        <v>9.4927616953175781E-2</v>
      </c>
      <c r="J126" s="19">
        <f t="shared" si="29"/>
        <v>9.9391513719498129E-2</v>
      </c>
      <c r="K126" s="19">
        <f t="shared" si="29"/>
        <v>0.1041143763722991</v>
      </c>
      <c r="L126" s="19">
        <f t="shared" si="29"/>
        <v>0.10420326961353314</v>
      </c>
      <c r="M126" s="19">
        <f t="shared" si="29"/>
        <v>0.10399942708778731</v>
      </c>
      <c r="N126" s="19">
        <f t="shared" si="29"/>
        <v>0.1039994270877873</v>
      </c>
    </row>
    <row r="128" spans="1:14" ht="15.75" customHeight="1" x14ac:dyDescent="0.25">
      <c r="A128" s="26" t="s">
        <v>222</v>
      </c>
      <c r="B128" s="138" t="s">
        <v>8</v>
      </c>
      <c r="D128" s="19">
        <f>-D116*Assumptions!G92</f>
        <v>-1188.5328</v>
      </c>
      <c r="E128" s="19">
        <f>-E116*Assumptions!H92</f>
        <v>-1450.1698260000003</v>
      </c>
      <c r="F128" s="19">
        <f>-F116*Assumptions!I92</f>
        <v>-1601.4980573999999</v>
      </c>
      <c r="G128" s="19">
        <f>-G116*Assumptions!J92</f>
        <v>-1822.4856678000001</v>
      </c>
      <c r="H128" s="19">
        <f>-H116*Assumptions!K92</f>
        <v>-1901.9436892275</v>
      </c>
      <c r="I128" s="19">
        <f>-I116*Assumptions!L92</f>
        <v>-1987.4997987502556</v>
      </c>
      <c r="J128" s="19">
        <f>-J116*Assumptions!M92</f>
        <v>-2111.9557900820332</v>
      </c>
      <c r="K128" s="19">
        <f>-K116*Assumptions!N92</f>
        <v>-2098.7407643604811</v>
      </c>
      <c r="L128" s="19">
        <f>-L116*Assumptions!O92</f>
        <v>-2030.859377708581</v>
      </c>
      <c r="M128" s="19">
        <f>-M116*Assumptions!P92</f>
        <v>-2147.8793808463047</v>
      </c>
      <c r="N128" s="19">
        <f>-N116*Assumptions!Q92</f>
        <v>-2233.7945560801577</v>
      </c>
    </row>
    <row r="129" spans="1:14" ht="15.75" customHeight="1" x14ac:dyDescent="0.25">
      <c r="A129" s="141" t="s">
        <v>223</v>
      </c>
      <c r="B129" s="142" t="s">
        <v>8</v>
      </c>
      <c r="C129" s="141"/>
      <c r="D129" s="141">
        <f t="shared" ref="D129:N129" si="30">D125+D128</f>
        <v>537.21120000000019</v>
      </c>
      <c r="E129" s="141">
        <f t="shared" si="30"/>
        <v>1007.3501939999996</v>
      </c>
      <c r="F129" s="141">
        <f t="shared" si="30"/>
        <v>1929.7821966000004</v>
      </c>
      <c r="G129" s="141">
        <f t="shared" si="30"/>
        <v>3234.6136275600006</v>
      </c>
      <c r="H129" s="141">
        <f t="shared" si="30"/>
        <v>4618.0272239895012</v>
      </c>
      <c r="I129" s="141">
        <f t="shared" si="30"/>
        <v>6215.483661696624</v>
      </c>
      <c r="J129" s="141">
        <f t="shared" si="30"/>
        <v>7429.4297955957827</v>
      </c>
      <c r="K129" s="141">
        <f t="shared" si="30"/>
        <v>8826.713528065211</v>
      </c>
      <c r="L129" s="141">
        <f t="shared" si="30"/>
        <v>9725.928804654719</v>
      </c>
      <c r="M129" s="141">
        <f t="shared" si="30"/>
        <v>10262.022011469642</v>
      </c>
      <c r="N129" s="141">
        <f t="shared" si="30"/>
        <v>10672.502891928429</v>
      </c>
    </row>
    <row r="130" spans="1:14" ht="15.75" customHeight="1" x14ac:dyDescent="0.25">
      <c r="A130" s="26" t="s">
        <v>224</v>
      </c>
      <c r="B130" s="138" t="s">
        <v>8</v>
      </c>
      <c r="D130" s="19">
        <f>-D116*Assumptions!G95</f>
        <v>-1337.0993999999998</v>
      </c>
      <c r="E130" s="19">
        <f>-E116*Assumptions!H95</f>
        <v>-1823.0706384</v>
      </c>
      <c r="F130" s="19">
        <f>-F116*Assumptions!I95</f>
        <v>-2242.0972803599998</v>
      </c>
      <c r="G130" s="19">
        <f>-G116*Assumptions!J95</f>
        <v>-2603.5509540000003</v>
      </c>
      <c r="H130" s="19">
        <f>-H116*Assumptions!K95</f>
        <v>-3043.1099027640003</v>
      </c>
      <c r="I130" s="19">
        <f>-I116*Assumptions!L95</f>
        <v>-3456.5213891308795</v>
      </c>
      <c r="J130" s="19">
        <f>-J116*Assumptions!M95</f>
        <v>-3839.91961833097</v>
      </c>
      <c r="K130" s="19">
        <f>-K116*Assumptions!N95</f>
        <v>-4197.4815287209622</v>
      </c>
      <c r="L130" s="19">
        <f>-L116*Assumptions!O95</f>
        <v>-4513.0208393524026</v>
      </c>
      <c r="M130" s="19">
        <f>-M116*Assumptions!P95</f>
        <v>-4773.0652907695667</v>
      </c>
      <c r="N130" s="19">
        <f>-N116*Assumptions!Q95</f>
        <v>-4963.9879024003503</v>
      </c>
    </row>
    <row r="131" spans="1:14" ht="15.75" customHeight="1" x14ac:dyDescent="0.25">
      <c r="A131" s="20" t="s">
        <v>225</v>
      </c>
      <c r="B131" s="139" t="s">
        <v>8</v>
      </c>
      <c r="C131" s="20"/>
      <c r="D131" s="20">
        <f t="shared" ref="D131:N131" si="31">D129+D130</f>
        <v>-799.88819999999964</v>
      </c>
      <c r="E131" s="20">
        <f t="shared" si="31"/>
        <v>-815.72044440000036</v>
      </c>
      <c r="F131" s="20">
        <f t="shared" si="31"/>
        <v>-312.31508375999942</v>
      </c>
      <c r="G131" s="20">
        <f t="shared" si="31"/>
        <v>631.06267356000035</v>
      </c>
      <c r="H131" s="20">
        <f t="shared" si="31"/>
        <v>1574.9173212255009</v>
      </c>
      <c r="I131" s="20">
        <f t="shared" si="31"/>
        <v>2758.9622725657446</v>
      </c>
      <c r="J131" s="20">
        <f t="shared" si="31"/>
        <v>3589.5101772648127</v>
      </c>
      <c r="K131" s="20">
        <f t="shared" si="31"/>
        <v>4629.2319993442488</v>
      </c>
      <c r="L131" s="20">
        <f t="shared" si="31"/>
        <v>5212.9079653023164</v>
      </c>
      <c r="M131" s="20">
        <f t="shared" si="31"/>
        <v>5488.9567207000755</v>
      </c>
      <c r="N131" s="20">
        <f t="shared" si="31"/>
        <v>5708.5149895280783</v>
      </c>
    </row>
    <row r="132" spans="1:14" ht="15.75" customHeight="1" x14ac:dyDescent="0.25">
      <c r="A132" s="140" t="s">
        <v>226</v>
      </c>
      <c r="B132" s="138" t="s">
        <v>184</v>
      </c>
      <c r="D132" s="19">
        <f t="shared" ref="D132:N132" si="32">D131/D116</f>
        <v>-2.6920189329230113E-2</v>
      </c>
      <c r="E132" s="19">
        <f t="shared" si="32"/>
        <v>-1.9687498003423506E-2</v>
      </c>
      <c r="F132" s="19">
        <f t="shared" si="32"/>
        <v>-5.8504301453921846E-3</v>
      </c>
      <c r="G132" s="19">
        <f t="shared" si="32"/>
        <v>9.6954149883713061E-3</v>
      </c>
      <c r="H132" s="19">
        <f t="shared" si="32"/>
        <v>2.070141889775368E-2</v>
      </c>
      <c r="I132" s="19">
        <f t="shared" si="32"/>
        <v>3.1927616953175787E-2</v>
      </c>
      <c r="J132" s="19">
        <f t="shared" si="32"/>
        <v>3.7391513719498136E-2</v>
      </c>
      <c r="K132" s="19">
        <f t="shared" si="32"/>
        <v>4.4114376372299105E-2</v>
      </c>
      <c r="L132" s="19">
        <f t="shared" si="32"/>
        <v>4.6203269613533139E-2</v>
      </c>
      <c r="M132" s="19">
        <f t="shared" si="32"/>
        <v>4.5999427087787308E-2</v>
      </c>
      <c r="N132" s="19">
        <f t="shared" si="32"/>
        <v>4.5999427087787301E-2</v>
      </c>
    </row>
    <row r="133" spans="1:14" ht="15.75" customHeight="1" x14ac:dyDescent="0.25">
      <c r="A133" s="26" t="s">
        <v>227</v>
      </c>
      <c r="B133" s="138" t="s">
        <v>8</v>
      </c>
      <c r="D133" s="19">
        <f>-MAX(D131,0)*Assumptions!G104</f>
        <v>0</v>
      </c>
      <c r="E133" s="19">
        <f>-MAX(E131,0)*Assumptions!H104</f>
        <v>0</v>
      </c>
      <c r="F133" s="19">
        <f>-MAX(F131,0)*Assumptions!I104</f>
        <v>0</v>
      </c>
      <c r="G133" s="19">
        <f>-MAX(G131,0)*Assumptions!J104</f>
        <v>-113.59128124080006</v>
      </c>
      <c r="H133" s="19">
        <f>-MAX(H131,0)*Assumptions!K104</f>
        <v>-346.48181066961018</v>
      </c>
      <c r="I133" s="19">
        <f>-MAX(I131,0)*Assumptions!L104</f>
        <v>-695.25849268656759</v>
      </c>
      <c r="J133" s="19">
        <f>-MAX(J131,0)*Assumptions!M104</f>
        <v>-904.55656467073277</v>
      </c>
      <c r="K133" s="19">
        <f>-MAX(K131,0)*Assumptions!N104</f>
        <v>-1166.5664638347507</v>
      </c>
      <c r="L133" s="19">
        <f>-MAX(L131,0)*Assumptions!O104</f>
        <v>-1313.6528072561837</v>
      </c>
      <c r="M133" s="19">
        <f>-MAX(M131,0)*Assumptions!P104</f>
        <v>-1383.2170936164191</v>
      </c>
      <c r="N133" s="19">
        <f>-MAX(N131,0)*Assumptions!Q104</f>
        <v>-1438.5457773610758</v>
      </c>
    </row>
    <row r="134" spans="1:14" ht="15.75" customHeight="1" x14ac:dyDescent="0.25">
      <c r="A134" s="141" t="s">
        <v>228</v>
      </c>
      <c r="B134" s="142" t="s">
        <v>8</v>
      </c>
      <c r="C134" s="141"/>
      <c r="D134" s="141">
        <f t="shared" ref="D134:N134" si="33">D131+D133</f>
        <v>-799.88819999999964</v>
      </c>
      <c r="E134" s="141">
        <f t="shared" si="33"/>
        <v>-815.72044440000036</v>
      </c>
      <c r="F134" s="141">
        <f t="shared" si="33"/>
        <v>-312.31508375999942</v>
      </c>
      <c r="G134" s="141">
        <f t="shared" si="33"/>
        <v>517.47139231920028</v>
      </c>
      <c r="H134" s="141">
        <f t="shared" si="33"/>
        <v>1228.4355105558907</v>
      </c>
      <c r="I134" s="141">
        <f t="shared" si="33"/>
        <v>2063.7037798791771</v>
      </c>
      <c r="J134" s="141">
        <f t="shared" si="33"/>
        <v>2684.9536125940799</v>
      </c>
      <c r="K134" s="141">
        <f t="shared" si="33"/>
        <v>3462.6655355094981</v>
      </c>
      <c r="L134" s="141">
        <f t="shared" si="33"/>
        <v>3899.2551580461327</v>
      </c>
      <c r="M134" s="141">
        <f t="shared" si="33"/>
        <v>4105.7396270836562</v>
      </c>
      <c r="N134" s="141">
        <f t="shared" si="33"/>
        <v>4269.9692121670023</v>
      </c>
    </row>
    <row r="135" spans="1:14" ht="15.75" customHeight="1" x14ac:dyDescent="0.25">
      <c r="A135" s="26" t="s">
        <v>229</v>
      </c>
      <c r="B135" s="138" t="s">
        <v>8</v>
      </c>
      <c r="D135" s="19">
        <f t="shared" ref="D135:N135" si="34">-D130</f>
        <v>1337.0993999999998</v>
      </c>
      <c r="E135" s="19">
        <f t="shared" si="34"/>
        <v>1823.0706384</v>
      </c>
      <c r="F135" s="19">
        <f t="shared" si="34"/>
        <v>2242.0972803599998</v>
      </c>
      <c r="G135" s="19">
        <f t="shared" si="34"/>
        <v>2603.5509540000003</v>
      </c>
      <c r="H135" s="19">
        <f t="shared" si="34"/>
        <v>3043.1099027640003</v>
      </c>
      <c r="I135" s="19">
        <f t="shared" si="34"/>
        <v>3456.5213891308795</v>
      </c>
      <c r="J135" s="19">
        <f t="shared" si="34"/>
        <v>3839.91961833097</v>
      </c>
      <c r="K135" s="19">
        <f t="shared" si="34"/>
        <v>4197.4815287209622</v>
      </c>
      <c r="L135" s="19">
        <f t="shared" si="34"/>
        <v>4513.0208393524026</v>
      </c>
      <c r="M135" s="19">
        <f t="shared" si="34"/>
        <v>4773.0652907695667</v>
      </c>
      <c r="N135" s="19">
        <f t="shared" si="34"/>
        <v>4963.9879024003503</v>
      </c>
    </row>
    <row r="136" spans="1:14" ht="15.75" customHeight="1" x14ac:dyDescent="0.25">
      <c r="A136" s="26" t="s">
        <v>230</v>
      </c>
      <c r="B136" s="138" t="s">
        <v>8</v>
      </c>
      <c r="D136" s="19">
        <f>-D116*Assumptions!G98</f>
        <v>-1782.7991999999999</v>
      </c>
      <c r="E136" s="19">
        <f>-E116*Assumptions!H98</f>
        <v>-2278.8382980000001</v>
      </c>
      <c r="F136" s="19">
        <f>-F116*Assumptions!I98</f>
        <v>-2669.1634290000002</v>
      </c>
      <c r="G136" s="19">
        <f>-G116*Assumptions!J98</f>
        <v>-2928.9948232500001</v>
      </c>
      <c r="H136" s="19">
        <f>-H116*Assumptions!K98</f>
        <v>-3271.3431454712995</v>
      </c>
      <c r="I136" s="19">
        <f>-I116*Assumptions!L98</f>
        <v>-3456.5213891308795</v>
      </c>
      <c r="J136" s="19">
        <f>-J116*Assumptions!M98</f>
        <v>-3839.91961833097</v>
      </c>
      <c r="K136" s="19">
        <f>-K116*Assumptions!N98</f>
        <v>-4197.4815287209622</v>
      </c>
      <c r="L136" s="19">
        <f>-L116*Assumptions!O98</f>
        <v>-4513.0208393524026</v>
      </c>
      <c r="M136" s="19">
        <f>-M116*Assumptions!P98</f>
        <v>-4773.0652907695667</v>
      </c>
      <c r="N136" s="19">
        <f>-N116*Assumptions!Q98</f>
        <v>-4963.9879024003503</v>
      </c>
    </row>
    <row r="137" spans="1:14" ht="15.75" customHeight="1" thickBot="1" x14ac:dyDescent="0.3">
      <c r="A137" s="26" t="s">
        <v>231</v>
      </c>
      <c r="B137" s="138" t="s">
        <v>8</v>
      </c>
      <c r="D137" s="19">
        <f>-(D116-C116)*Assumptions!G101</f>
        <v>-852.32879999999989</v>
      </c>
      <c r="E137" s="19">
        <f>-(E116-D116)*Assumptions!H101</f>
        <v>-1054.8093240000001</v>
      </c>
      <c r="F137" s="19">
        <f>-(F116-E116)*Assumptions!I101</f>
        <v>-955.98759839999957</v>
      </c>
      <c r="G137" s="19">
        <f>-(G116-F116)*Assumptions!J101</f>
        <v>-936.44042160000072</v>
      </c>
      <c r="H137" s="19">
        <f>-(H116-G116)*Assumptions!K101</f>
        <v>-769.22816033699974</v>
      </c>
      <c r="I137" s="19">
        <f>-(I116-H116)*Assumptions!L101</f>
        <v>-723.47010114203931</v>
      </c>
      <c r="J137" s="19">
        <f>-(J116-I116)*Assumptions!M101</f>
        <v>-575.09734380013538</v>
      </c>
      <c r="K137" s="19">
        <f>-(K116-J116)*Assumptions!N101</f>
        <v>-536.34286558498854</v>
      </c>
      <c r="L137" s="19">
        <f>-(L116-K116)*Assumptions!O101</f>
        <v>-473.30896594716</v>
      </c>
      <c r="M137" s="19">
        <f>-(M116-L116)*Assumptions!P101</f>
        <v>-390.06667712574676</v>
      </c>
      <c r="N137" s="19">
        <f>-(N116-M116)*Assumptions!Q101</f>
        <v>-286.38391744617547</v>
      </c>
    </row>
    <row r="138" spans="1:14" ht="15.75" customHeight="1" x14ac:dyDescent="0.25">
      <c r="A138" s="143" t="s">
        <v>232</v>
      </c>
      <c r="B138" s="144" t="s">
        <v>8</v>
      </c>
      <c r="C138" s="143"/>
      <c r="D138" s="143">
        <f t="shared" ref="D138:N138" si="35">D134+D135+D136+D137</f>
        <v>-2097.9167999999995</v>
      </c>
      <c r="E138" s="143">
        <f t="shared" si="35"/>
        <v>-2326.2974280000008</v>
      </c>
      <c r="F138" s="143">
        <f t="shared" si="35"/>
        <v>-1695.3688307999994</v>
      </c>
      <c r="G138" s="143">
        <f t="shared" si="35"/>
        <v>-744.41289853080025</v>
      </c>
      <c r="H138" s="143">
        <f t="shared" si="35"/>
        <v>230.97410751159168</v>
      </c>
      <c r="I138" s="143">
        <f t="shared" si="35"/>
        <v>1340.2336787371378</v>
      </c>
      <c r="J138" s="143">
        <f t="shared" si="35"/>
        <v>2109.8562687939448</v>
      </c>
      <c r="K138" s="143">
        <f t="shared" si="35"/>
        <v>2926.3226699245097</v>
      </c>
      <c r="L138" s="143">
        <f t="shared" si="35"/>
        <v>3425.9461920989734</v>
      </c>
      <c r="M138" s="143">
        <f t="shared" si="35"/>
        <v>3715.6729499579105</v>
      </c>
      <c r="N138" s="143">
        <f t="shared" si="35"/>
        <v>3983.5852947208268</v>
      </c>
    </row>
    <row r="139" spans="1:14" ht="15.75" customHeight="1" x14ac:dyDescent="0.25">
      <c r="A139" s="140" t="s">
        <v>233</v>
      </c>
      <c r="B139" s="138" t="s">
        <v>184</v>
      </c>
      <c r="D139" s="19">
        <f t="shared" ref="D139:N139" si="36">D138/D116</f>
        <v>-7.060526390184603E-2</v>
      </c>
      <c r="E139" s="19">
        <f t="shared" si="36"/>
        <v>-5.6145431052431805E-2</v>
      </c>
      <c r="F139" s="19">
        <f t="shared" si="36"/>
        <v>-3.1758430607510012E-2</v>
      </c>
      <c r="G139" s="19">
        <f t="shared" si="36"/>
        <v>-1.1436886186338879E-2</v>
      </c>
      <c r="H139" s="19">
        <f t="shared" si="36"/>
        <v>3.0360271550074771E-3</v>
      </c>
      <c r="I139" s="19">
        <f t="shared" si="36"/>
        <v>1.5509624016232472E-2</v>
      </c>
      <c r="J139" s="19">
        <f t="shared" si="36"/>
        <v>2.1978129528773822E-2</v>
      </c>
      <c r="K139" s="19">
        <f t="shared" si="36"/>
        <v>2.7886461440283748E-2</v>
      </c>
      <c r="L139" s="19">
        <f t="shared" si="36"/>
        <v>3.0364993329750109E-2</v>
      </c>
      <c r="M139" s="19">
        <f t="shared" si="36"/>
        <v>3.1138672727930174E-2</v>
      </c>
      <c r="N139" s="19">
        <f t="shared" si="36"/>
        <v>3.2099879153972576E-2</v>
      </c>
    </row>
    <row r="141" spans="1:14" ht="15.75" customHeight="1" x14ac:dyDescent="0.25">
      <c r="A141" s="140" t="s">
        <v>235</v>
      </c>
      <c r="B141" s="138" t="s">
        <v>236</v>
      </c>
      <c r="D141" s="145">
        <v>1</v>
      </c>
      <c r="E141" s="145">
        <f t="shared" ref="E141:M141" si="37">D141+1</f>
        <v>2</v>
      </c>
      <c r="F141" s="145">
        <f t="shared" si="37"/>
        <v>3</v>
      </c>
      <c r="G141" s="145">
        <f t="shared" si="37"/>
        <v>4</v>
      </c>
      <c r="H141" s="145">
        <f t="shared" si="37"/>
        <v>5</v>
      </c>
      <c r="I141" s="145">
        <f t="shared" si="37"/>
        <v>6</v>
      </c>
      <c r="J141" s="145">
        <f t="shared" si="37"/>
        <v>7</v>
      </c>
      <c r="K141" s="145">
        <f t="shared" si="37"/>
        <v>8</v>
      </c>
      <c r="L141" s="145">
        <f t="shared" si="37"/>
        <v>9</v>
      </c>
      <c r="M141" s="145">
        <f t="shared" si="37"/>
        <v>10</v>
      </c>
    </row>
    <row r="142" spans="1:14" ht="15.75" customHeight="1" x14ac:dyDescent="0.25">
      <c r="A142" s="140" t="s">
        <v>237</v>
      </c>
      <c r="B142" s="138" t="s">
        <v>187</v>
      </c>
      <c r="D142" s="145">
        <f>1/(1+Assumptions!$V$24)^D141</f>
        <v>0.87443384206465369</v>
      </c>
      <c r="E142" s="145">
        <f>1/(1+Assumptions!$V$24)^E141</f>
        <v>0.76463454414795173</v>
      </c>
      <c r="F142" s="145">
        <f>1/(1+Assumptions!$V$24)^F141</f>
        <v>0.66862232221464857</v>
      </c>
      <c r="G142" s="145">
        <f>1/(1+Assumptions!$V$24)^G141</f>
        <v>0.58466598610434595</v>
      </c>
      <c r="H142" s="145">
        <f>1/(1+Assumptions!$V$24)^H141</f>
        <v>0.51125172455374268</v>
      </c>
      <c r="I142" s="145">
        <f>1/(1+Assumptions!$V$24)^I141</f>
        <v>0.44705580976370934</v>
      </c>
      <c r="J142" s="145">
        <f>1/(1+Assumptions!$V$24)^J141</f>
        <v>0.39092072934900524</v>
      </c>
      <c r="K142" s="145">
        <f>1/(1+Assumptions!$V$24)^K141</f>
        <v>0.3418343153073673</v>
      </c>
      <c r="L142" s="145">
        <f>1/(1+Assumptions!$V$24)^L141</f>
        <v>0.29891149368376146</v>
      </c>
      <c r="M142" s="145">
        <f>1/(1+Assumptions!$V$24)^M141</f>
        <v>0.26137832585917598</v>
      </c>
    </row>
    <row r="143" spans="1:14" ht="15.75" customHeight="1" x14ac:dyDescent="0.25">
      <c r="A143" s="20" t="s">
        <v>238</v>
      </c>
      <c r="B143" s="139" t="s">
        <v>8</v>
      </c>
      <c r="C143" s="20"/>
      <c r="D143" s="20">
        <f t="shared" ref="D143:M143" si="38">D138*D142</f>
        <v>-1834.4894477559833</v>
      </c>
      <c r="E143" s="20">
        <f t="shared" si="38"/>
        <v>-1778.7673734113332</v>
      </c>
      <c r="F143" s="20">
        <f t="shared" si="38"/>
        <v>-1133.5614446598292</v>
      </c>
      <c r="G143" s="20">
        <f t="shared" si="38"/>
        <v>-435.23290138830475</v>
      </c>
      <c r="H143" s="20">
        <f t="shared" si="38"/>
        <v>118.08591079256281</v>
      </c>
      <c r="I143" s="20">
        <f t="shared" si="38"/>
        <v>599.15925252042621</v>
      </c>
      <c r="J143" s="20">
        <f t="shared" si="38"/>
        <v>824.7865514184997</v>
      </c>
      <c r="K143" s="20">
        <f t="shared" si="38"/>
        <v>1000.3175062420718</v>
      </c>
      <c r="L143" s="20">
        <f t="shared" si="38"/>
        <v>1024.0546935604989</v>
      </c>
      <c r="M143" s="20">
        <f t="shared" si="38"/>
        <v>971.19637510022437</v>
      </c>
      <c r="N143" s="20"/>
    </row>
    <row r="145" spans="1:14" ht="15.75" customHeight="1" x14ac:dyDescent="0.25">
      <c r="A145" s="146" t="s">
        <v>240</v>
      </c>
      <c r="B145" s="138" t="s">
        <v>8</v>
      </c>
      <c r="D145" s="19">
        <f>SUM(D143:M143)</f>
        <v>-644.45087758116654</v>
      </c>
    </row>
    <row r="146" spans="1:14" ht="15.75" customHeight="1" x14ac:dyDescent="0.25">
      <c r="A146" s="26" t="s">
        <v>241</v>
      </c>
      <c r="B146" s="138" t="s">
        <v>8</v>
      </c>
      <c r="D146" s="19">
        <f>M138*(1+Assumptions!$V$28)</f>
        <v>3864.299867956227</v>
      </c>
    </row>
    <row r="147" spans="1:14" ht="15.75" customHeight="1" x14ac:dyDescent="0.25">
      <c r="A147" s="26" t="s">
        <v>242</v>
      </c>
      <c r="B147" s="138" t="s">
        <v>8</v>
      </c>
      <c r="D147" s="19">
        <f>D146/(Assumptions!$V$24-Assumptions!$V$28)</f>
        <v>37301.238362730015</v>
      </c>
    </row>
    <row r="148" spans="1:14" ht="15.75" customHeight="1" x14ac:dyDescent="0.25">
      <c r="A148" s="146" t="s">
        <v>243</v>
      </c>
      <c r="B148" s="138" t="s">
        <v>8</v>
      </c>
      <c r="D148" s="19">
        <f>D147/(1+Assumptions!$V$24)^Assumptions!$F$27</f>
        <v>9749.7352357244417</v>
      </c>
    </row>
    <row r="149" spans="1:14" ht="15.75" customHeight="1" x14ac:dyDescent="0.25">
      <c r="A149" s="20" t="s">
        <v>244</v>
      </c>
      <c r="B149" s="139" t="s">
        <v>8</v>
      </c>
      <c r="C149" s="20"/>
      <c r="D149" s="20">
        <f>D145+D148</f>
        <v>9105.2843581432753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</row>
    <row r="150" spans="1:14" ht="15.75" customHeight="1" x14ac:dyDescent="0.25">
      <c r="A150" s="26" t="s">
        <v>245</v>
      </c>
      <c r="B150" s="138" t="s">
        <v>8</v>
      </c>
      <c r="D150" s="19">
        <f>-Assumptions!$F$10</f>
        <v>-2045</v>
      </c>
    </row>
    <row r="151" spans="1:14" ht="15.75" customHeight="1" thickBot="1" x14ac:dyDescent="0.3">
      <c r="A151" s="26" t="s">
        <v>246</v>
      </c>
      <c r="B151" s="138" t="s">
        <v>8</v>
      </c>
      <c r="D151" s="19">
        <f>Assumptions!$F$11</f>
        <v>16806</v>
      </c>
    </row>
    <row r="152" spans="1:14" ht="15.75" customHeight="1" x14ac:dyDescent="0.25">
      <c r="A152" s="143" t="s">
        <v>247</v>
      </c>
      <c r="B152" s="144" t="s">
        <v>8</v>
      </c>
      <c r="C152" s="143"/>
      <c r="D152" s="143">
        <f>D149+D150+D151</f>
        <v>23866.284358143275</v>
      </c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</row>
    <row r="153" spans="1:14" ht="15.75" customHeight="1" x14ac:dyDescent="0.25">
      <c r="A153" s="26" t="s">
        <v>176</v>
      </c>
      <c r="B153" s="138" t="s">
        <v>177</v>
      </c>
      <c r="D153" s="19">
        <f>Assumptions!$F$8</f>
        <v>951.5</v>
      </c>
    </row>
    <row r="154" spans="1:14" ht="15.75" customHeight="1" x14ac:dyDescent="0.25">
      <c r="A154" s="146" t="s">
        <v>248</v>
      </c>
      <c r="B154" s="138" t="s">
        <v>90</v>
      </c>
      <c r="D154" s="19">
        <f>D152/D153</f>
        <v>25.082800166204176</v>
      </c>
    </row>
    <row r="155" spans="1:14" ht="15.75" customHeight="1" x14ac:dyDescent="0.25">
      <c r="A155" s="26" t="s">
        <v>249</v>
      </c>
      <c r="B155" s="138" t="s">
        <v>90</v>
      </c>
      <c r="D155" s="19">
        <f>Assumptions!$F$7</f>
        <v>251</v>
      </c>
    </row>
    <row r="156" spans="1:14" ht="15.75" customHeight="1" x14ac:dyDescent="0.25">
      <c r="A156" s="20" t="s">
        <v>250</v>
      </c>
      <c r="B156" s="139" t="s">
        <v>184</v>
      </c>
      <c r="C156" s="20"/>
      <c r="D156" s="20">
        <f>D154/D155-1</f>
        <v>-0.9000685252342463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0C95-BBDD-4AB7-9766-ADEECDFCA85F}">
  <sheetPr>
    <tabColor rgb="FFFF0000"/>
  </sheetPr>
  <dimension ref="A1:Q56"/>
  <sheetViews>
    <sheetView showGridLines="0" zoomScale="76" zoomScaleNormal="99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J55" sqref="J55"/>
    </sheetView>
  </sheetViews>
  <sheetFormatPr defaultRowHeight="15.75" customHeight="1" x14ac:dyDescent="0.25"/>
  <cols>
    <col min="1" max="1" width="74.21875" style="19" bestFit="1" customWidth="1"/>
    <col min="2" max="2" width="12.109375" style="19" bestFit="1" customWidth="1"/>
    <col min="3" max="3" width="8.6640625" style="19" bestFit="1" customWidth="1"/>
    <col min="4" max="6" width="11.109375" style="19" customWidth="1"/>
    <col min="7" max="16" width="10.21875" style="19" customWidth="1"/>
    <col min="17" max="17" width="13" style="19" customWidth="1"/>
    <col min="18" max="16384" width="8.88671875" style="19"/>
  </cols>
  <sheetData>
    <row r="1" spans="1:17" ht="31.5" customHeight="1" x14ac:dyDescent="0.25">
      <c r="A1" s="125" t="s">
        <v>213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1:17" ht="15.75" customHeight="1" x14ac:dyDescent="0.25">
      <c r="A2" s="23" t="s">
        <v>214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21.95" customHeight="1" x14ac:dyDescent="0.25">
      <c r="A3" s="134" t="s">
        <v>322</v>
      </c>
      <c r="B3" s="278" t="str">
        <f>Assumptions!T7</f>
        <v>Optimistic Case</v>
      </c>
      <c r="C3" s="278"/>
      <c r="D3" s="134" t="s">
        <v>194</v>
      </c>
      <c r="E3" s="279">
        <f>Assumptions!F24</f>
        <v>0.12017266956655313</v>
      </c>
      <c r="F3" s="134" t="s">
        <v>319</v>
      </c>
      <c r="G3" s="279">
        <f>Assumptions!F28</f>
        <v>0.06</v>
      </c>
      <c r="H3" s="134" t="s">
        <v>320</v>
      </c>
      <c r="I3" s="279">
        <f>F54</f>
        <v>287.17053713596374</v>
      </c>
      <c r="J3" s="134" t="s">
        <v>321</v>
      </c>
      <c r="K3" s="279">
        <f>F56</f>
        <v>0.14410572564128987</v>
      </c>
      <c r="L3" s="280"/>
      <c r="M3" s="280"/>
      <c r="N3" s="280"/>
      <c r="O3" s="280"/>
      <c r="P3" s="280"/>
      <c r="Q3" s="280"/>
    </row>
    <row r="5" spans="1:17" ht="15.75" customHeight="1" x14ac:dyDescent="0.25">
      <c r="A5" s="128" t="s">
        <v>0</v>
      </c>
      <c r="B5" s="129" t="s">
        <v>157</v>
      </c>
      <c r="C5" s="129" t="s">
        <v>158</v>
      </c>
      <c r="D5" s="129" t="s">
        <v>159</v>
      </c>
      <c r="E5" s="129" t="s">
        <v>160</v>
      </c>
      <c r="F5" s="129" t="s">
        <v>161</v>
      </c>
      <c r="G5" s="129" t="s">
        <v>162</v>
      </c>
      <c r="H5" s="129" t="s">
        <v>163</v>
      </c>
      <c r="I5" s="129" t="s">
        <v>164</v>
      </c>
      <c r="J5" s="129" t="s">
        <v>165</v>
      </c>
      <c r="K5" s="129" t="s">
        <v>166</v>
      </c>
      <c r="L5" s="129" t="s">
        <v>167</v>
      </c>
      <c r="M5" s="129" t="s">
        <v>168</v>
      </c>
      <c r="N5" s="129" t="s">
        <v>169</v>
      </c>
      <c r="O5" s="129" t="s">
        <v>170</v>
      </c>
      <c r="P5" s="129" t="s">
        <v>171</v>
      </c>
      <c r="Q5" s="129" t="s">
        <v>172</v>
      </c>
    </row>
    <row r="6" spans="1:17" ht="15.75" customHeight="1" x14ac:dyDescent="0.25">
      <c r="A6" s="126" t="s">
        <v>215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ht="15.75" customHeight="1" x14ac:dyDescent="0.25">
      <c r="A7" s="26" t="s">
        <v>200</v>
      </c>
      <c r="B7" s="19" t="s">
        <v>8</v>
      </c>
      <c r="E7" s="263">
        <v>6361</v>
      </c>
      <c r="F7" s="265">
        <v>8080</v>
      </c>
      <c r="G7" s="19">
        <f>F7*(1+Assumptions!G32)</f>
        <v>10504</v>
      </c>
      <c r="H7" s="19">
        <f>G7*(1+Assumptions!H32)</f>
        <v>13340.08</v>
      </c>
      <c r="I7" s="19">
        <f>H7*(1+Assumptions!I32)</f>
        <v>16541.699199999999</v>
      </c>
      <c r="J7" s="19">
        <f>I7*(1+Assumptions!J32)</f>
        <v>20180.873023999997</v>
      </c>
      <c r="K7" s="19">
        <f>J7*(1+Assumptions!K32)</f>
        <v>24217.047628799995</v>
      </c>
      <c r="L7" s="19">
        <f>K7*(1+Assumptions!L32)</f>
        <v>28576.116201983994</v>
      </c>
      <c r="M7" s="19">
        <f>L7*(1+Assumptions!M32)</f>
        <v>33148.29479430143</v>
      </c>
      <c r="N7" s="19">
        <f>M7*(1+Assumptions!N32)</f>
        <v>37789.056065503632</v>
      </c>
      <c r="O7" s="19">
        <f>N7*(1+Assumptions!O32)</f>
        <v>42323.742793364072</v>
      </c>
      <c r="P7" s="19">
        <f>O7*(1+Assumptions!P32)</f>
        <v>46556.117072700486</v>
      </c>
      <c r="Q7" s="19">
        <f>P7*(1+Assumptions!Q32)</f>
        <v>49349.484097062516</v>
      </c>
    </row>
    <row r="8" spans="1:17" ht="15.75" customHeight="1" x14ac:dyDescent="0.25">
      <c r="A8" s="26" t="s">
        <v>201</v>
      </c>
      <c r="B8" s="19" t="s">
        <v>8</v>
      </c>
      <c r="E8" s="263">
        <v>3172</v>
      </c>
      <c r="F8" s="265">
        <v>6196</v>
      </c>
      <c r="G8" s="19">
        <f>F8*(1+Assumptions!G33)</f>
        <v>10843</v>
      </c>
      <c r="H8" s="19">
        <f>G8*(1+Assumptions!H33)</f>
        <v>17348.8</v>
      </c>
      <c r="I8" s="19">
        <f>H8*(1+Assumptions!I33)</f>
        <v>25676.223999999998</v>
      </c>
      <c r="J8" s="19">
        <f>I8*(1+Assumptions!J33)</f>
        <v>35946.713599999995</v>
      </c>
      <c r="K8" s="19">
        <f>J8*(1+Assumptions!K33)</f>
        <v>48528.06336</v>
      </c>
      <c r="L8" s="19">
        <f>K8*(1+Assumptions!L33)</f>
        <v>63086.482368000004</v>
      </c>
      <c r="M8" s="19">
        <f>L8*(1+Assumptions!M33)</f>
        <v>78858.102960000004</v>
      </c>
      <c r="N8" s="19">
        <f>M8*(1+Assumptions!N33)</f>
        <v>96206.885611200007</v>
      </c>
      <c r="O8" s="19">
        <f>N8*(1+Assumptions!O33)</f>
        <v>113524.12502121601</v>
      </c>
      <c r="P8" s="19">
        <f>O8*(1+Assumptions!P33)</f>
        <v>130552.7437743984</v>
      </c>
      <c r="Q8" s="19">
        <f>P8*(1+Assumptions!Q33)</f>
        <v>138385.9084008623</v>
      </c>
    </row>
    <row r="9" spans="1:17" ht="15.75" customHeight="1" x14ac:dyDescent="0.25">
      <c r="A9" s="26" t="s">
        <v>202</v>
      </c>
      <c r="B9" s="19" t="s">
        <v>8</v>
      </c>
      <c r="E9" s="263">
        <v>2301</v>
      </c>
      <c r="F9" s="265">
        <v>5206</v>
      </c>
      <c r="G9" s="19">
        <f>F9*(1+Assumptions!G34)</f>
        <v>11453.2</v>
      </c>
      <c r="H9" s="19">
        <f>G9*(1+Assumptions!H34)</f>
        <v>21761.08</v>
      </c>
      <c r="I9" s="19">
        <f>H9*(1+Assumptions!I34)</f>
        <v>35905.781999999999</v>
      </c>
      <c r="J9" s="19">
        <f>I9*(1+Assumptions!J34)</f>
        <v>53858.672999999995</v>
      </c>
      <c r="K9" s="19">
        <f>J9*(1+Assumptions!K34)</f>
        <v>75402.142199999987</v>
      </c>
      <c r="L9" s="19">
        <f>K9*(1+Assumptions!L34)</f>
        <v>101792.89197</v>
      </c>
      <c r="M9" s="19">
        <f>L9*(1+Assumptions!M34)</f>
        <v>130294.90172159999</v>
      </c>
      <c r="N9" s="19">
        <f>M9*(1+Assumptions!N34)</f>
        <v>158959.78010035199</v>
      </c>
      <c r="O9" s="19">
        <f>N9*(1+Assumptions!O34)</f>
        <v>187572.54051841534</v>
      </c>
      <c r="P9" s="19">
        <f>O9*(1+Assumptions!P34)</f>
        <v>211956.9707858093</v>
      </c>
      <c r="Q9" s="19">
        <f>P9*(1+Assumptions!Q34)</f>
        <v>224674.38903295787</v>
      </c>
    </row>
    <row r="10" spans="1:17" ht="15.75" customHeight="1" x14ac:dyDescent="0.25">
      <c r="A10" s="26" t="s">
        <v>203</v>
      </c>
      <c r="B10" s="19" t="s">
        <v>8</v>
      </c>
      <c r="E10" s="263">
        <v>258</v>
      </c>
      <c r="F10" s="265">
        <v>737</v>
      </c>
      <c r="G10" s="19">
        <f>F10*(1+Assumptions!G35)</f>
        <v>1621.4</v>
      </c>
      <c r="H10" s="19">
        <f>G10*(1+Assumptions!H35)</f>
        <v>2999.59</v>
      </c>
      <c r="I10" s="19">
        <f>H10*(1+Assumptions!I35)</f>
        <v>4949.3235000000004</v>
      </c>
      <c r="J10" s="19">
        <f>I10*(1+Assumptions!J35)</f>
        <v>7423.9852500000006</v>
      </c>
      <c r="K10" s="19">
        <f>J10*(1+Assumptions!K35)</f>
        <v>10393.57935</v>
      </c>
      <c r="L10" s="19">
        <f>K10*(1+Assumptions!L35)</f>
        <v>13511.653155</v>
      </c>
      <c r="M10" s="19">
        <f>L10*(1+Assumptions!M35)</f>
        <v>16484.216849100001</v>
      </c>
      <c r="N10" s="19">
        <f>M10*(1+Assumptions!N35)</f>
        <v>19451.375881938002</v>
      </c>
      <c r="O10" s="19">
        <f>N10*(1+Assumptions!O35)</f>
        <v>22174.568505409323</v>
      </c>
      <c r="P10" s="19">
        <f>O10*(1+Assumptions!P35)</f>
        <v>24392.025355950256</v>
      </c>
      <c r="Q10" s="19">
        <f>P10*(1+Assumptions!Q35)</f>
        <v>25855.546877307272</v>
      </c>
    </row>
    <row r="11" spans="1:17" ht="15.75" customHeight="1" x14ac:dyDescent="0.25">
      <c r="A11" s="26" t="s">
        <v>204</v>
      </c>
      <c r="B11" s="19" t="s">
        <v>8</v>
      </c>
      <c r="E11" s="263">
        <v>22</v>
      </c>
      <c r="F11" s="265">
        <v>24</v>
      </c>
      <c r="G11" s="19">
        <f>F11*(1+Assumptions!G36)</f>
        <v>27.599999999999998</v>
      </c>
      <c r="H11" s="19">
        <f>G11*(1+Assumptions!H36)</f>
        <v>31.739999999999995</v>
      </c>
      <c r="I11" s="19">
        <f>H11*(1+Assumptions!I36)</f>
        <v>36.500999999999991</v>
      </c>
      <c r="J11" s="19">
        <f>I11*(1+Assumptions!J36)</f>
        <v>40.881119999999996</v>
      </c>
      <c r="K11" s="19">
        <f>J11*(1+Assumptions!K36)</f>
        <v>44.969231999999998</v>
      </c>
      <c r="L11" s="19">
        <f>K11*(1+Assumptions!L36)</f>
        <v>48.566770560000002</v>
      </c>
      <c r="M11" s="19">
        <f>L11*(1+Assumptions!M36)</f>
        <v>52.452112204800002</v>
      </c>
      <c r="N11" s="19">
        <f>M11*(1+Assumptions!N36)</f>
        <v>56.648281181184004</v>
      </c>
      <c r="O11" s="19">
        <f>N11*(1+Assumptions!O36)</f>
        <v>61.180143675678728</v>
      </c>
      <c r="P11" s="19">
        <f>O11*(1+Assumptions!P36)</f>
        <v>66.074555169733031</v>
      </c>
      <c r="Q11" s="19">
        <f>P11*(1+Assumptions!Q36)</f>
        <v>70.039028479917022</v>
      </c>
    </row>
    <row r="12" spans="1:17" ht="15.75" customHeight="1" x14ac:dyDescent="0.25">
      <c r="A12" s="20" t="s">
        <v>216</v>
      </c>
      <c r="B12" s="20" t="s">
        <v>8</v>
      </c>
      <c r="C12" s="20">
        <f>'P&amp;L'!C6</f>
        <v>4192.3999999999996</v>
      </c>
      <c r="D12" s="20">
        <f>'P&amp;L'!D6</f>
        <v>7079.4</v>
      </c>
      <c r="E12" s="20">
        <f>'P&amp;L'!E6</f>
        <v>12114</v>
      </c>
      <c r="F12" s="20">
        <f>'P&amp;L'!F6</f>
        <v>20243</v>
      </c>
      <c r="G12" s="20">
        <f t="shared" ref="G12:Q12" si="0">SUM(G7:G11)</f>
        <v>34449.199999999997</v>
      </c>
      <c r="H12" s="20">
        <f t="shared" si="0"/>
        <v>55481.29</v>
      </c>
      <c r="I12" s="20">
        <f t="shared" si="0"/>
        <v>83109.529699999999</v>
      </c>
      <c r="J12" s="20">
        <f t="shared" si="0"/>
        <v>117451.12599399999</v>
      </c>
      <c r="K12" s="20">
        <f t="shared" si="0"/>
        <v>158585.80177079997</v>
      </c>
      <c r="L12" s="20">
        <f t="shared" si="0"/>
        <v>207015.71046554399</v>
      </c>
      <c r="M12" s="20">
        <f t="shared" si="0"/>
        <v>258837.9684372062</v>
      </c>
      <c r="N12" s="20">
        <f t="shared" si="0"/>
        <v>312463.74594017485</v>
      </c>
      <c r="O12" s="20">
        <f t="shared" si="0"/>
        <v>365656.15698208043</v>
      </c>
      <c r="P12" s="20">
        <f t="shared" si="0"/>
        <v>413523.93154402816</v>
      </c>
      <c r="Q12" s="20">
        <f t="shared" si="0"/>
        <v>438335.36743666988</v>
      </c>
    </row>
    <row r="13" spans="1:17" ht="15.75" customHeight="1" x14ac:dyDescent="0.25">
      <c r="A13" s="26" t="s">
        <v>217</v>
      </c>
      <c r="B13" s="19" t="s">
        <v>184</v>
      </c>
      <c r="D13" s="19">
        <f t="shared" ref="D13:Q13" si="1">D12/C12-1</f>
        <v>0.68862703940463699</v>
      </c>
      <c r="E13" s="19">
        <f t="shared" si="1"/>
        <v>0.71116196287821021</v>
      </c>
      <c r="F13" s="19">
        <f t="shared" si="1"/>
        <v>0.67104176985306263</v>
      </c>
      <c r="G13" s="19">
        <f t="shared" si="1"/>
        <v>0.70178333251000335</v>
      </c>
      <c r="H13" s="19">
        <f t="shared" si="1"/>
        <v>0.61052477270880035</v>
      </c>
      <c r="I13" s="19">
        <f t="shared" si="1"/>
        <v>0.4979739962787455</v>
      </c>
      <c r="J13" s="19">
        <f t="shared" si="1"/>
        <v>0.41320888733172545</v>
      </c>
      <c r="K13" s="19">
        <f t="shared" si="1"/>
        <v>0.35022802402849118</v>
      </c>
      <c r="L13" s="19">
        <f t="shared" si="1"/>
        <v>0.30538615786511913</v>
      </c>
      <c r="M13" s="19">
        <f t="shared" si="1"/>
        <v>0.25033007328343615</v>
      </c>
      <c r="N13" s="19">
        <f t="shared" si="1"/>
        <v>0.20717894606709608</v>
      </c>
      <c r="O13" s="19">
        <f t="shared" si="1"/>
        <v>0.17023546485962537</v>
      </c>
      <c r="P13" s="19">
        <f t="shared" si="1"/>
        <v>0.13090925353758931</v>
      </c>
      <c r="Q13" s="19">
        <f t="shared" si="1"/>
        <v>6.0000000000000053E-2</v>
      </c>
    </row>
    <row r="15" spans="1:17" ht="15.75" customHeight="1" x14ac:dyDescent="0.25">
      <c r="A15" s="126" t="s">
        <v>218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1:17" ht="15.75" customHeight="1" x14ac:dyDescent="0.25">
      <c r="A16" s="26" t="s">
        <v>200</v>
      </c>
      <c r="B16" s="19" t="s">
        <v>8</v>
      </c>
      <c r="E16" s="263">
        <v>935</v>
      </c>
      <c r="F16" s="265">
        <v>1541</v>
      </c>
      <c r="G16" s="19">
        <f>G7*Assumptions!G39</f>
        <v>2415.92</v>
      </c>
      <c r="H16" s="19">
        <f>H7*Assumptions!H39</f>
        <v>3201.6191999999996</v>
      </c>
      <c r="I16" s="19">
        <f>I7*Assumptions!I39</f>
        <v>4135.4247999999998</v>
      </c>
      <c r="J16" s="19">
        <f>J7*Assumptions!J39</f>
        <v>5247.0269862399991</v>
      </c>
      <c r="K16" s="19">
        <f>K7*Assumptions!K39</f>
        <v>6538.6028597759996</v>
      </c>
      <c r="L16" s="19">
        <f>L7*Assumptions!L39</f>
        <v>8001.3125365555188</v>
      </c>
      <c r="M16" s="19">
        <f>M7*Assumptions!M39</f>
        <v>9281.522542404402</v>
      </c>
      <c r="N16" s="19">
        <f>N7*Assumptions!N39</f>
        <v>10580.935698341018</v>
      </c>
      <c r="O16" s="19">
        <f>O7*Assumptions!O39</f>
        <v>11850.647982141942</v>
      </c>
      <c r="P16" s="19">
        <f>P7*Assumptions!P39</f>
        <v>13035.712780356138</v>
      </c>
      <c r="Q16" s="19">
        <f>Q7*Assumptions!Q39</f>
        <v>13817.855547177505</v>
      </c>
    </row>
    <row r="17" spans="1:17" ht="15.75" customHeight="1" x14ac:dyDescent="0.25">
      <c r="A17" s="26" t="s">
        <v>201</v>
      </c>
      <c r="B17" s="19" t="s">
        <v>8</v>
      </c>
      <c r="E17" s="263">
        <v>-100</v>
      </c>
      <c r="F17" s="265">
        <v>-43</v>
      </c>
      <c r="G17" s="19">
        <f>G8*Assumptions!G40</f>
        <v>216.86</v>
      </c>
      <c r="H17" s="19">
        <f>H8*Assumptions!H40</f>
        <v>520.46399999999994</v>
      </c>
      <c r="I17" s="19">
        <f>I8*Assumptions!I40</f>
        <v>1027.0489599999999</v>
      </c>
      <c r="J17" s="19">
        <f>J8*Assumptions!J40</f>
        <v>1797.3356799999999</v>
      </c>
      <c r="K17" s="19">
        <f>K8*Assumptions!K40</f>
        <v>2911.6838015999997</v>
      </c>
      <c r="L17" s="19">
        <f>L8*Assumptions!L40</f>
        <v>4416.0537657600007</v>
      </c>
      <c r="M17" s="19">
        <f>M8*Assumptions!M40</f>
        <v>5520.0672072000007</v>
      </c>
      <c r="N17" s="19">
        <f>N8*Assumptions!N40</f>
        <v>6734.4819927840008</v>
      </c>
      <c r="O17" s="19">
        <f>O8*Assumptions!O40</f>
        <v>7946.6887514851214</v>
      </c>
      <c r="P17" s="19">
        <f>P8*Assumptions!P40</f>
        <v>9138.6920642078894</v>
      </c>
      <c r="Q17" s="19">
        <f>Q8*Assumptions!Q40</f>
        <v>9687.013588060363</v>
      </c>
    </row>
    <row r="18" spans="1:17" ht="15.75" customHeight="1" x14ac:dyDescent="0.25">
      <c r="A18" s="26" t="s">
        <v>202</v>
      </c>
      <c r="B18" s="19" t="s">
        <v>8</v>
      </c>
      <c r="E18" s="263">
        <v>-253</v>
      </c>
      <c r="F18" s="265">
        <v>-21</v>
      </c>
      <c r="G18" s="19">
        <f>G9*Assumptions!G41</f>
        <v>343.596</v>
      </c>
      <c r="H18" s="19">
        <f>H9*Assumptions!H41</f>
        <v>1523.2756000000002</v>
      </c>
      <c r="I18" s="19">
        <f>I9*Assumptions!I41</f>
        <v>3949.6360199999999</v>
      </c>
      <c r="J18" s="19">
        <f>J9*Assumptions!J41</f>
        <v>7540.2142199999998</v>
      </c>
      <c r="K18" s="19">
        <f>K9*Assumptions!K41</f>
        <v>12064.342751999999</v>
      </c>
      <c r="L18" s="19">
        <f>L9*Assumptions!L41</f>
        <v>17304.791634900001</v>
      </c>
      <c r="M18" s="19">
        <f>M9*Assumptions!M41</f>
        <v>23453.082309887999</v>
      </c>
      <c r="N18" s="19">
        <f>N9*Assumptions!N41</f>
        <v>30202.358219066879</v>
      </c>
      <c r="O18" s="19">
        <f>O9*Assumptions!O41</f>
        <v>35638.782698498915</v>
      </c>
      <c r="P18" s="19">
        <f>P9*Assumptions!P41</f>
        <v>40271.824449303771</v>
      </c>
      <c r="Q18" s="19">
        <f>Q9*Assumptions!Q41</f>
        <v>42688.133916261999</v>
      </c>
    </row>
    <row r="19" spans="1:17" ht="15.75" customHeight="1" x14ac:dyDescent="0.25">
      <c r="A19" s="26" t="s">
        <v>203</v>
      </c>
      <c r="B19" s="19" t="s">
        <v>8</v>
      </c>
      <c r="E19" s="263">
        <v>-2</v>
      </c>
      <c r="F19" s="265">
        <v>-30</v>
      </c>
      <c r="G19" s="19">
        <f>G10*Assumptions!G42</f>
        <v>-48.642000000000003</v>
      </c>
      <c r="H19" s="19">
        <f>H10*Assumptions!H42</f>
        <v>0</v>
      </c>
      <c r="I19" s="19">
        <f>I10*Assumptions!I42</f>
        <v>197.97294000000002</v>
      </c>
      <c r="J19" s="19">
        <f>J10*Assumptions!J42</f>
        <v>593.9188200000001</v>
      </c>
      <c r="K19" s="19">
        <f>K10*Assumptions!K42</f>
        <v>1247.2295219999999</v>
      </c>
      <c r="L19" s="19">
        <f>L10*Assumptions!L42</f>
        <v>2026.7479732499999</v>
      </c>
      <c r="M19" s="19">
        <f>M10*Assumptions!M42</f>
        <v>2802.3168643470003</v>
      </c>
      <c r="N19" s="19">
        <f>N10*Assumptions!N42</f>
        <v>3501.2476587488404</v>
      </c>
      <c r="O19" s="19">
        <f>O10*Assumptions!O42</f>
        <v>4213.168016027771</v>
      </c>
      <c r="P19" s="19">
        <f>P10*Assumptions!P42</f>
        <v>4634.4848176305486</v>
      </c>
      <c r="Q19" s="19">
        <f>Q10*Assumptions!Q42</f>
        <v>4912.5539066883821</v>
      </c>
    </row>
    <row r="20" spans="1:17" ht="15.75" customHeight="1" x14ac:dyDescent="0.25">
      <c r="A20" s="26" t="s">
        <v>204</v>
      </c>
      <c r="B20" s="19" t="s">
        <v>8</v>
      </c>
      <c r="E20" s="263">
        <v>-23</v>
      </c>
      <c r="F20" s="265">
        <v>-12</v>
      </c>
      <c r="G20" s="19">
        <f>G11*Assumptions!G43</f>
        <v>-5.52</v>
      </c>
      <c r="H20" s="19">
        <f>H11*Assumptions!H43</f>
        <v>-3.1739999999999995</v>
      </c>
      <c r="I20" s="19">
        <f>I11*Assumptions!I43</f>
        <v>0</v>
      </c>
      <c r="J20" s="19">
        <f>J11*Assumptions!J43</f>
        <v>2.0440559999999999</v>
      </c>
      <c r="K20" s="19">
        <f>K11*Assumptions!K43</f>
        <v>3.5975385599999998</v>
      </c>
      <c r="L20" s="19">
        <f>L11*Assumptions!L43</f>
        <v>3.8853416448000004</v>
      </c>
      <c r="M20" s="19">
        <f>M11*Assumptions!M43</f>
        <v>4.1961689763840004</v>
      </c>
      <c r="N20" s="19">
        <f>N11*Assumptions!N43</f>
        <v>4.5318624944947201</v>
      </c>
      <c r="O20" s="19">
        <f>O11*Assumptions!O43</f>
        <v>4.8944114940542987</v>
      </c>
      <c r="P20" s="19">
        <f>P11*Assumptions!P43</f>
        <v>5.2859644135786423</v>
      </c>
      <c r="Q20" s="19">
        <f>Q11*Assumptions!Q43</f>
        <v>5.6031222783933616</v>
      </c>
    </row>
    <row r="21" spans="1:17" ht="15.75" customHeight="1" x14ac:dyDescent="0.25">
      <c r="A21" s="20" t="s">
        <v>219</v>
      </c>
      <c r="B21" s="20" t="s">
        <v>8</v>
      </c>
      <c r="C21" s="20"/>
      <c r="D21" s="20"/>
      <c r="E21" s="20">
        <f t="shared" ref="E21:Q21" si="2">SUM(E16:E20)</f>
        <v>557</v>
      </c>
      <c r="F21" s="20">
        <f t="shared" si="2"/>
        <v>1435</v>
      </c>
      <c r="G21" s="20">
        <f t="shared" si="2"/>
        <v>2922.2140000000004</v>
      </c>
      <c r="H21" s="20">
        <f t="shared" si="2"/>
        <v>5242.1848</v>
      </c>
      <c r="I21" s="20">
        <f t="shared" si="2"/>
        <v>9310.0827199999985</v>
      </c>
      <c r="J21" s="20">
        <f t="shared" si="2"/>
        <v>15180.539762240001</v>
      </c>
      <c r="K21" s="20">
        <f t="shared" si="2"/>
        <v>22765.456473935999</v>
      </c>
      <c r="L21" s="20">
        <f t="shared" si="2"/>
        <v>31752.791252110321</v>
      </c>
      <c r="M21" s="20">
        <f t="shared" si="2"/>
        <v>41061.18509281578</v>
      </c>
      <c r="N21" s="20">
        <f t="shared" si="2"/>
        <v>51023.555431435227</v>
      </c>
      <c r="O21" s="20">
        <f t="shared" si="2"/>
        <v>59654.181859647804</v>
      </c>
      <c r="P21" s="20">
        <f t="shared" si="2"/>
        <v>67086.000075911928</v>
      </c>
      <c r="Q21" s="20">
        <f t="shared" si="2"/>
        <v>71111.160080466638</v>
      </c>
    </row>
    <row r="22" spans="1:17" ht="15.75" customHeight="1" x14ac:dyDescent="0.25">
      <c r="A22" s="26" t="s">
        <v>220</v>
      </c>
      <c r="B22" s="19" t="s">
        <v>184</v>
      </c>
      <c r="E22" s="19">
        <f t="shared" ref="E22:Q22" si="3">E21/E12</f>
        <v>4.5979858015519237E-2</v>
      </c>
      <c r="F22" s="19">
        <f t="shared" si="3"/>
        <v>7.0888702267450476E-2</v>
      </c>
      <c r="G22" s="19">
        <f t="shared" si="3"/>
        <v>8.482675940225029E-2</v>
      </c>
      <c r="H22" s="19">
        <f t="shared" si="3"/>
        <v>9.4485632904353883E-2</v>
      </c>
      <c r="I22" s="19">
        <f t="shared" si="3"/>
        <v>0.11202184338675182</v>
      </c>
      <c r="J22" s="19">
        <f t="shared" si="3"/>
        <v>0.1292498444247823</v>
      </c>
      <c r="K22" s="19">
        <f t="shared" si="3"/>
        <v>0.14355292983187951</v>
      </c>
      <c r="L22" s="19">
        <f t="shared" si="3"/>
        <v>0.15338348563354715</v>
      </c>
      <c r="M22" s="19">
        <f t="shared" si="3"/>
        <v>0.15863663797367958</v>
      </c>
      <c r="N22" s="19">
        <f t="shared" si="3"/>
        <v>0.16329432164333182</v>
      </c>
      <c r="O22" s="19">
        <f t="shared" si="3"/>
        <v>0.16314283438298907</v>
      </c>
      <c r="P22" s="19">
        <f t="shared" si="3"/>
        <v>0.16223003061860095</v>
      </c>
      <c r="Q22" s="19">
        <f t="shared" si="3"/>
        <v>0.16223003061860092</v>
      </c>
    </row>
    <row r="24" spans="1:17" ht="15.75" customHeight="1" x14ac:dyDescent="0.25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7" ht="15.75" customHeight="1" x14ac:dyDescent="0.25">
      <c r="A25" s="26" t="s">
        <v>221</v>
      </c>
      <c r="B25" s="19" t="s">
        <v>8</v>
      </c>
      <c r="E25" s="19">
        <f t="shared" ref="E25:Q25" si="4">E21</f>
        <v>557</v>
      </c>
      <c r="F25" s="19">
        <f t="shared" si="4"/>
        <v>1435</v>
      </c>
      <c r="G25" s="19">
        <f t="shared" si="4"/>
        <v>2922.2140000000004</v>
      </c>
      <c r="H25" s="19">
        <f t="shared" si="4"/>
        <v>5242.1848</v>
      </c>
      <c r="I25" s="19">
        <f t="shared" si="4"/>
        <v>9310.0827199999985</v>
      </c>
      <c r="J25" s="19">
        <f t="shared" si="4"/>
        <v>15180.539762240001</v>
      </c>
      <c r="K25" s="19">
        <f t="shared" si="4"/>
        <v>22765.456473935999</v>
      </c>
      <c r="L25" s="19">
        <f t="shared" si="4"/>
        <v>31752.791252110321</v>
      </c>
      <c r="M25" s="19">
        <f t="shared" si="4"/>
        <v>41061.18509281578</v>
      </c>
      <c r="N25" s="19">
        <f t="shared" si="4"/>
        <v>51023.555431435227</v>
      </c>
      <c r="O25" s="19">
        <f t="shared" si="4"/>
        <v>59654.181859647804</v>
      </c>
      <c r="P25" s="19">
        <f t="shared" si="4"/>
        <v>67086.000075911928</v>
      </c>
      <c r="Q25" s="19">
        <f t="shared" si="4"/>
        <v>71111.160080466638</v>
      </c>
    </row>
    <row r="26" spans="1:17" ht="15.75" customHeight="1" x14ac:dyDescent="0.25">
      <c r="A26" s="26" t="s">
        <v>222</v>
      </c>
      <c r="B26" s="19" t="s">
        <v>8</v>
      </c>
      <c r="E26" s="19">
        <f>-Equity!E29</f>
        <v>515</v>
      </c>
      <c r="F26" s="19">
        <f>-Equity!F29</f>
        <v>-798</v>
      </c>
      <c r="G26" s="19">
        <f>-G12*Assumptions!G46</f>
        <v>-1033.4759999999999</v>
      </c>
      <c r="H26" s="19">
        <f>-H12*Assumptions!H46</f>
        <v>-1387.0322500000002</v>
      </c>
      <c r="I26" s="19">
        <f>-I12*Assumptions!I46</f>
        <v>-1828.4096533999998</v>
      </c>
      <c r="J26" s="19">
        <f>-J12*Assumptions!J46</f>
        <v>-2349.0225198799999</v>
      </c>
      <c r="K26" s="19">
        <f>-K12*Assumptions!K46</f>
        <v>-2854.5444318743994</v>
      </c>
      <c r="L26" s="19">
        <f>-L12*Assumptions!L46</f>
        <v>-3105.23565698316</v>
      </c>
      <c r="M26" s="19">
        <f>-M12*Assumptions!M46</f>
        <v>-3882.569526558093</v>
      </c>
      <c r="N26" s="19">
        <f>-N12*Assumptions!N46</f>
        <v>-4686.9561891026224</v>
      </c>
      <c r="O26" s="19">
        <f>-O12*Assumptions!O46</f>
        <v>-4753.5300407670456</v>
      </c>
      <c r="P26" s="19">
        <f>-P12*Assumptions!P46</f>
        <v>-5375.8111100723663</v>
      </c>
      <c r="Q26" s="19">
        <f>-Q12*Assumptions!Q46</f>
        <v>-5698.359776676708</v>
      </c>
    </row>
    <row r="27" spans="1:17" ht="15.75" customHeight="1" x14ac:dyDescent="0.25">
      <c r="A27" s="20" t="s">
        <v>223</v>
      </c>
      <c r="B27" s="20" t="s">
        <v>8</v>
      </c>
      <c r="C27" s="20"/>
      <c r="D27" s="20"/>
      <c r="E27" s="20">
        <f t="shared" ref="E27:Q27" si="5">E25+E26</f>
        <v>1072</v>
      </c>
      <c r="F27" s="20">
        <f t="shared" si="5"/>
        <v>637</v>
      </c>
      <c r="G27" s="20">
        <f t="shared" si="5"/>
        <v>1888.7380000000005</v>
      </c>
      <c r="H27" s="20">
        <f t="shared" si="5"/>
        <v>3855.1525499999998</v>
      </c>
      <c r="I27" s="20">
        <f t="shared" si="5"/>
        <v>7481.6730665999985</v>
      </c>
      <c r="J27" s="20">
        <f t="shared" si="5"/>
        <v>12831.517242360002</v>
      </c>
      <c r="K27" s="20">
        <f t="shared" si="5"/>
        <v>19910.912042061602</v>
      </c>
      <c r="L27" s="20">
        <f t="shared" si="5"/>
        <v>28647.55559512716</v>
      </c>
      <c r="M27" s="20">
        <f t="shared" si="5"/>
        <v>37178.615566257686</v>
      </c>
      <c r="N27" s="20">
        <f t="shared" si="5"/>
        <v>46336.599242332602</v>
      </c>
      <c r="O27" s="20">
        <f t="shared" si="5"/>
        <v>54900.65181888076</v>
      </c>
      <c r="P27" s="20">
        <f t="shared" si="5"/>
        <v>61710.188965839559</v>
      </c>
      <c r="Q27" s="20">
        <f t="shared" si="5"/>
        <v>65412.800303789933</v>
      </c>
    </row>
    <row r="28" spans="1:17" ht="15.75" customHeight="1" x14ac:dyDescent="0.25">
      <c r="A28" s="26" t="s">
        <v>224</v>
      </c>
      <c r="B28" s="19" t="s">
        <v>8</v>
      </c>
      <c r="C28" s="19">
        <f>-'P&amp;L'!C14</f>
        <v>-150.30000000000001</v>
      </c>
      <c r="D28" s="19">
        <f>-'P&amp;L'!D14</f>
        <v>-436.9</v>
      </c>
      <c r="E28" s="19">
        <f>-'P&amp;L'!E14</f>
        <v>-526</v>
      </c>
      <c r="F28" s="19">
        <f>-'P&amp;L'!F14</f>
        <v>-863</v>
      </c>
      <c r="G28" s="19">
        <f>-G12*Assumptions!G47</f>
        <v>-1377.9679999999998</v>
      </c>
      <c r="H28" s="19">
        <f>-H12*Assumptions!H47</f>
        <v>-2108.2890200000002</v>
      </c>
      <c r="I28" s="19">
        <f>-I12*Assumptions!I47</f>
        <v>-2991.9430691999996</v>
      </c>
      <c r="J28" s="19">
        <f>-J12*Assumptions!J47</f>
        <v>-4110.7894097899998</v>
      </c>
      <c r="K28" s="19">
        <f>-K12*Assumptions!K47</f>
        <v>-5391.9172602071994</v>
      </c>
      <c r="L28" s="19">
        <f>-L12*Assumptions!L47</f>
        <v>-6831.5184453629518</v>
      </c>
      <c r="M28" s="19">
        <f>-M12*Assumptions!M47</f>
        <v>-8541.6529584278051</v>
      </c>
      <c r="N28" s="19">
        <f>-N12*Assumptions!N47</f>
        <v>-10311.303616025771</v>
      </c>
      <c r="O28" s="19">
        <f>-O12*Assumptions!O47</f>
        <v>-12066.653180408655</v>
      </c>
      <c r="P28" s="19">
        <f>-P12*Assumptions!P47</f>
        <v>-13646.289740952931</v>
      </c>
      <c r="Q28" s="19">
        <f>-Q12*Assumptions!Q47</f>
        <v>-14465.067125410107</v>
      </c>
    </row>
    <row r="29" spans="1:17" ht="15.75" customHeight="1" x14ac:dyDescent="0.25">
      <c r="A29" s="20" t="s">
        <v>225</v>
      </c>
      <c r="B29" s="20" t="s">
        <v>8</v>
      </c>
      <c r="C29" s="20"/>
      <c r="D29" s="20"/>
      <c r="E29" s="20">
        <f t="shared" ref="E29:Q29" si="6">E27+E28</f>
        <v>546</v>
      </c>
      <c r="F29" s="20">
        <f t="shared" si="6"/>
        <v>-226</v>
      </c>
      <c r="G29" s="20">
        <f t="shared" si="6"/>
        <v>510.77000000000066</v>
      </c>
      <c r="H29" s="20">
        <f t="shared" si="6"/>
        <v>1746.8635299999996</v>
      </c>
      <c r="I29" s="20">
        <f t="shared" si="6"/>
        <v>4489.7299973999989</v>
      </c>
      <c r="J29" s="20">
        <f t="shared" si="6"/>
        <v>8720.7278325700026</v>
      </c>
      <c r="K29" s="20">
        <f t="shared" si="6"/>
        <v>14518.994781854402</v>
      </c>
      <c r="L29" s="20">
        <f t="shared" si="6"/>
        <v>21816.037149764208</v>
      </c>
      <c r="M29" s="20">
        <f t="shared" si="6"/>
        <v>28636.962607829882</v>
      </c>
      <c r="N29" s="20">
        <f t="shared" si="6"/>
        <v>36025.295626306834</v>
      </c>
      <c r="O29" s="20">
        <f t="shared" si="6"/>
        <v>42833.998638472105</v>
      </c>
      <c r="P29" s="20">
        <f t="shared" si="6"/>
        <v>48063.899224886627</v>
      </c>
      <c r="Q29" s="20">
        <f t="shared" si="6"/>
        <v>50947.733178379829</v>
      </c>
    </row>
    <row r="30" spans="1:17" ht="15.75" customHeight="1" x14ac:dyDescent="0.25">
      <c r="A30" s="26" t="s">
        <v>226</v>
      </c>
      <c r="B30" s="19" t="s">
        <v>184</v>
      </c>
      <c r="E30" s="19">
        <f t="shared" ref="E30:Q30" si="7">E29/E12</f>
        <v>4.5071817731550272E-2</v>
      </c>
      <c r="F30" s="19">
        <f t="shared" si="7"/>
        <v>-1.1164353109716939E-2</v>
      </c>
      <c r="G30" s="19">
        <f t="shared" si="7"/>
        <v>1.482675940225029E-2</v>
      </c>
      <c r="H30" s="19">
        <f t="shared" si="7"/>
        <v>3.1485632904353876E-2</v>
      </c>
      <c r="I30" s="19">
        <f t="shared" si="7"/>
        <v>5.4021843386751818E-2</v>
      </c>
      <c r="J30" s="19">
        <f t="shared" si="7"/>
        <v>7.4249844424782288E-2</v>
      </c>
      <c r="K30" s="19">
        <f t="shared" si="7"/>
        <v>9.1552929831879501E-2</v>
      </c>
      <c r="L30" s="19">
        <f t="shared" si="7"/>
        <v>0.10538348563354713</v>
      </c>
      <c r="M30" s="19">
        <f t="shared" si="7"/>
        <v>0.11063663797367958</v>
      </c>
      <c r="N30" s="19">
        <f t="shared" si="7"/>
        <v>0.11529432164333181</v>
      </c>
      <c r="O30" s="19">
        <f t="shared" si="7"/>
        <v>0.11714283438298909</v>
      </c>
      <c r="P30" s="19">
        <f t="shared" si="7"/>
        <v>0.11623003061860093</v>
      </c>
      <c r="Q30" s="19">
        <f t="shared" si="7"/>
        <v>0.11623003061860093</v>
      </c>
    </row>
    <row r="31" spans="1:17" ht="15.75" customHeight="1" x14ac:dyDescent="0.25">
      <c r="A31" s="26" t="s">
        <v>227</v>
      </c>
      <c r="B31" s="19" t="s">
        <v>8</v>
      </c>
      <c r="G31" s="19">
        <f>-MAX(G29,0)*Assumptions!G50</f>
        <v>0</v>
      </c>
      <c r="H31" s="19">
        <f>-MAX(H29,0)*Assumptions!H50</f>
        <v>0</v>
      </c>
      <c r="I31" s="19">
        <f>-MAX(I29,0)*Assumptions!I50</f>
        <v>-359.17839979199994</v>
      </c>
      <c r="J31" s="19">
        <f>-MAX(J29,0)*Assumptions!J50</f>
        <v>-1308.1091748855004</v>
      </c>
      <c r="K31" s="19">
        <f>-MAX(K29,0)*Assumptions!K50</f>
        <v>-2903.7989563708807</v>
      </c>
      <c r="L31" s="19">
        <f>-MAX(L29,0)*Assumptions!L50</f>
        <v>-5497.6413617405806</v>
      </c>
      <c r="M31" s="19">
        <f>-MAX(M29,0)*Assumptions!M50</f>
        <v>-7216.5145771731304</v>
      </c>
      <c r="N31" s="19">
        <f>-MAX(N29,0)*Assumptions!N50</f>
        <v>-9078.3744978293216</v>
      </c>
      <c r="O31" s="19">
        <f>-MAX(O29,0)*Assumptions!O50</f>
        <v>-10794.16765689497</v>
      </c>
      <c r="P31" s="19">
        <f>-MAX(P29,0)*Assumptions!P50</f>
        <v>-12112.102604671431</v>
      </c>
      <c r="Q31" s="19">
        <f>-MAX(Q29,0)*Assumptions!Q50</f>
        <v>-12838.828760951717</v>
      </c>
    </row>
    <row r="32" spans="1:17" ht="15.75" customHeight="1" x14ac:dyDescent="0.25">
      <c r="A32" s="20" t="s">
        <v>228</v>
      </c>
      <c r="B32" s="20" t="s">
        <v>8</v>
      </c>
      <c r="C32" s="20"/>
      <c r="D32" s="20"/>
      <c r="E32" s="20"/>
      <c r="F32" s="20"/>
      <c r="G32" s="20">
        <f t="shared" ref="G32:Q32" si="8">G29+G31</f>
        <v>510.77000000000066</v>
      </c>
      <c r="H32" s="20">
        <f t="shared" si="8"/>
        <v>1746.8635299999996</v>
      </c>
      <c r="I32" s="20">
        <f t="shared" si="8"/>
        <v>4130.5515976079987</v>
      </c>
      <c r="J32" s="20">
        <f t="shared" si="8"/>
        <v>7412.6186576845021</v>
      </c>
      <c r="K32" s="20">
        <f t="shared" si="8"/>
        <v>11615.195825483523</v>
      </c>
      <c r="L32" s="20">
        <f t="shared" si="8"/>
        <v>16318.395788023627</v>
      </c>
      <c r="M32" s="20">
        <f t="shared" si="8"/>
        <v>21420.448030656753</v>
      </c>
      <c r="N32" s="20">
        <f t="shared" si="8"/>
        <v>26946.921128477512</v>
      </c>
      <c r="O32" s="20">
        <f t="shared" si="8"/>
        <v>32039.830981577135</v>
      </c>
      <c r="P32" s="20">
        <f t="shared" si="8"/>
        <v>35951.796620215195</v>
      </c>
      <c r="Q32" s="20">
        <f t="shared" si="8"/>
        <v>38108.904417428115</v>
      </c>
    </row>
    <row r="33" spans="1:17" ht="15.75" customHeight="1" x14ac:dyDescent="0.25">
      <c r="A33" s="26" t="s">
        <v>229</v>
      </c>
      <c r="B33" s="19" t="s">
        <v>8</v>
      </c>
      <c r="G33" s="19">
        <f t="shared" ref="G33:Q33" si="9">-G28</f>
        <v>1377.9679999999998</v>
      </c>
      <c r="H33" s="19">
        <f t="shared" si="9"/>
        <v>2108.2890200000002</v>
      </c>
      <c r="I33" s="19">
        <f t="shared" si="9"/>
        <v>2991.9430691999996</v>
      </c>
      <c r="J33" s="19">
        <f t="shared" si="9"/>
        <v>4110.7894097899998</v>
      </c>
      <c r="K33" s="19">
        <f t="shared" si="9"/>
        <v>5391.9172602071994</v>
      </c>
      <c r="L33" s="19">
        <f t="shared" si="9"/>
        <v>6831.5184453629518</v>
      </c>
      <c r="M33" s="19">
        <f t="shared" si="9"/>
        <v>8541.6529584278051</v>
      </c>
      <c r="N33" s="19">
        <f t="shared" si="9"/>
        <v>10311.303616025771</v>
      </c>
      <c r="O33" s="19">
        <f t="shared" si="9"/>
        <v>12066.653180408655</v>
      </c>
      <c r="P33" s="19">
        <f t="shared" si="9"/>
        <v>13646.289740952931</v>
      </c>
      <c r="Q33" s="19">
        <f t="shared" si="9"/>
        <v>14465.067125410107</v>
      </c>
    </row>
    <row r="34" spans="1:17" ht="15.75" customHeight="1" x14ac:dyDescent="0.25">
      <c r="A34" s="26" t="s">
        <v>230</v>
      </c>
      <c r="B34" s="19" t="s">
        <v>8</v>
      </c>
      <c r="G34" s="19">
        <f>-G12*Assumptions!G48</f>
        <v>-1722.46</v>
      </c>
      <c r="H34" s="19">
        <f>-H12*Assumptions!H48</f>
        <v>-2496.65805</v>
      </c>
      <c r="I34" s="19">
        <f>-I12*Assumptions!I48</f>
        <v>-3324.3811879999998</v>
      </c>
      <c r="J34" s="19">
        <f>-J12*Assumptions!J48</f>
        <v>-4110.7894097899998</v>
      </c>
      <c r="K34" s="19">
        <f>-K12*Assumptions!K48</f>
        <v>-5233.3314584363989</v>
      </c>
      <c r="L34" s="19">
        <f>-L12*Assumptions!L48</f>
        <v>-6210.4713139663199</v>
      </c>
      <c r="M34" s="19">
        <f>-M12*Assumptions!M48</f>
        <v>-7765.139053116186</v>
      </c>
      <c r="N34" s="19">
        <f>-N12*Assumptions!N48</f>
        <v>-9373.9123782052447</v>
      </c>
      <c r="O34" s="19">
        <f>-O12*Assumptions!O48</f>
        <v>-10969.684709462412</v>
      </c>
      <c r="P34" s="19">
        <f>-P12*Assumptions!P48</f>
        <v>-12405.717946320845</v>
      </c>
      <c r="Q34" s="19">
        <f>-Q12*Assumptions!Q48</f>
        <v>-13150.061023100096</v>
      </c>
    </row>
    <row r="35" spans="1:17" ht="15.75" customHeight="1" thickBot="1" x14ac:dyDescent="0.3">
      <c r="A35" s="26" t="s">
        <v>231</v>
      </c>
      <c r="B35" s="19" t="s">
        <v>8</v>
      </c>
      <c r="G35" s="19">
        <f>-(G12-F12)*Assumptions!G49</f>
        <v>-994.43399999999986</v>
      </c>
      <c r="H35" s="19">
        <f>-(H12-G12)*Assumptions!H49</f>
        <v>-1472.2463000000005</v>
      </c>
      <c r="I35" s="19">
        <f>-(I12-H12)*Assumptions!I49</f>
        <v>-1657.6943819999999</v>
      </c>
      <c r="J35" s="19">
        <f>-(J12-I12)*Assumptions!J49</f>
        <v>-2060.4957776399992</v>
      </c>
      <c r="K35" s="19">
        <f>-(K12-J12)*Assumptions!K49</f>
        <v>-2056.7337888399993</v>
      </c>
      <c r="L35" s="19">
        <f>-(L12-K12)*Assumptions!L49</f>
        <v>-2421.4954347372013</v>
      </c>
      <c r="M35" s="19">
        <f>-(M12-L12)*Assumptions!M49</f>
        <v>-2591.112898583111</v>
      </c>
      <c r="N35" s="19">
        <f>-(N12-M12)*Assumptions!N49</f>
        <v>-2145.0311001187461</v>
      </c>
      <c r="O35" s="19">
        <f>-(O12-N12)*Assumptions!O49</f>
        <v>-2127.696441676223</v>
      </c>
      <c r="P35" s="19">
        <f>-(P12-O12)*Assumptions!P49</f>
        <v>-1914.7109824779095</v>
      </c>
      <c r="Q35" s="19">
        <f>-(Q12-P12)*Assumptions!Q49</f>
        <v>-992.45743570566879</v>
      </c>
    </row>
    <row r="36" spans="1:17" ht="15.75" customHeight="1" x14ac:dyDescent="0.25">
      <c r="A36" s="127" t="s">
        <v>232</v>
      </c>
      <c r="B36" s="127" t="s">
        <v>8</v>
      </c>
      <c r="C36" s="127"/>
      <c r="D36" s="127"/>
      <c r="E36" s="127"/>
      <c r="F36" s="127"/>
      <c r="G36" s="127">
        <f t="shared" ref="G36:Q36" si="10">G32+G33+G34+G35</f>
        <v>-828.15599999999938</v>
      </c>
      <c r="H36" s="127">
        <f t="shared" si="10"/>
        <v>-113.75180000000069</v>
      </c>
      <c r="I36" s="127">
        <f t="shared" si="10"/>
        <v>2140.4190968079984</v>
      </c>
      <c r="J36" s="127">
        <f t="shared" si="10"/>
        <v>5352.1228800445024</v>
      </c>
      <c r="K36" s="127">
        <f t="shared" si="10"/>
        <v>9717.0478384143244</v>
      </c>
      <c r="L36" s="127">
        <f t="shared" si="10"/>
        <v>14517.94748468306</v>
      </c>
      <c r="M36" s="127">
        <f t="shared" si="10"/>
        <v>19605.849037385262</v>
      </c>
      <c r="N36" s="127">
        <f t="shared" si="10"/>
        <v>25739.281266179292</v>
      </c>
      <c r="O36" s="127">
        <f t="shared" si="10"/>
        <v>31009.103010847157</v>
      </c>
      <c r="P36" s="127">
        <f t="shared" si="10"/>
        <v>35277.657432369371</v>
      </c>
      <c r="Q36" s="127">
        <f t="shared" si="10"/>
        <v>38431.453084032451</v>
      </c>
    </row>
    <row r="37" spans="1:17" ht="15.75" customHeight="1" x14ac:dyDescent="0.25">
      <c r="A37" s="26" t="s">
        <v>233</v>
      </c>
      <c r="B37" s="19" t="s">
        <v>184</v>
      </c>
      <c r="G37" s="19">
        <f t="shared" ref="G37:Q37" si="11">G36/G12</f>
        <v>-2.4039919649803173E-2</v>
      </c>
      <c r="H37" s="19">
        <f t="shared" si="11"/>
        <v>-2.0502731641603988E-3</v>
      </c>
      <c r="I37" s="19">
        <f t="shared" si="11"/>
        <v>2.5754195752692347E-2</v>
      </c>
      <c r="J37" s="19">
        <f t="shared" si="11"/>
        <v>4.5568936310733339E-2</v>
      </c>
      <c r="K37" s="19">
        <f t="shared" si="11"/>
        <v>6.1273126155758424E-2</v>
      </c>
      <c r="L37" s="19">
        <f t="shared" si="11"/>
        <v>7.0129689442577109E-2</v>
      </c>
      <c r="M37" s="19">
        <f t="shared" si="11"/>
        <v>7.5745645647584417E-2</v>
      </c>
      <c r="N37" s="19">
        <f t="shared" si="11"/>
        <v>8.2375256651718576E-2</v>
      </c>
      <c r="O37" s="19">
        <f t="shared" si="11"/>
        <v>8.4803995280098091E-2</v>
      </c>
      <c r="P37" s="19">
        <f t="shared" si="11"/>
        <v>8.5309832736036789E-2</v>
      </c>
      <c r="Q37" s="19">
        <f t="shared" si="11"/>
        <v>8.767591195931726E-2</v>
      </c>
    </row>
    <row r="39" spans="1:17" ht="15.75" customHeight="1" x14ac:dyDescent="0.25">
      <c r="A39" s="126" t="s">
        <v>234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</row>
    <row r="40" spans="1:17" ht="15.75" customHeight="1" x14ac:dyDescent="0.25">
      <c r="A40" s="26" t="s">
        <v>235</v>
      </c>
      <c r="B40" s="19" t="s">
        <v>236</v>
      </c>
      <c r="G40" s="225">
        <v>1</v>
      </c>
      <c r="H40" s="225">
        <v>2</v>
      </c>
      <c r="I40" s="225">
        <v>3</v>
      </c>
      <c r="J40" s="225">
        <v>4</v>
      </c>
      <c r="K40" s="225">
        <v>5</v>
      </c>
      <c r="L40" s="225">
        <v>6</v>
      </c>
      <c r="M40" s="225">
        <v>7</v>
      </c>
      <c r="N40" s="225">
        <v>8</v>
      </c>
      <c r="O40" s="225">
        <v>9</v>
      </c>
      <c r="P40" s="225">
        <v>10</v>
      </c>
    </row>
    <row r="41" spans="1:17" ht="15.75" customHeight="1" x14ac:dyDescent="0.25">
      <c r="A41" s="26" t="s">
        <v>237</v>
      </c>
      <c r="B41" s="19" t="s">
        <v>187</v>
      </c>
      <c r="G41" s="19">
        <f>1/(1+Assumptions!$F$24)^G40</f>
        <v>0.89271951295414709</v>
      </c>
      <c r="H41" s="19">
        <f>1/(1+Assumptions!$F$24)^H40</f>
        <v>0.79694812880908972</v>
      </c>
      <c r="I41" s="19">
        <f>1/(1+Assumptions!$F$24)^I40</f>
        <v>0.7114511454001694</v>
      </c>
      <c r="J41" s="19">
        <f>1/(1+Assumptions!$F$24)^J40</f>
        <v>0.6351263200123094</v>
      </c>
      <c r="K41" s="19">
        <f>1/(1+Assumptions!$F$24)^K40</f>
        <v>0.56698965906574872</v>
      </c>
      <c r="L41" s="19">
        <f>1/(1+Assumptions!$F$24)^L40</f>
        <v>0.50616273229121311</v>
      </c>
      <c r="M41" s="19">
        <f>1/(1+Assumptions!$F$24)^M40</f>
        <v>0.45186134784655207</v>
      </c>
      <c r="N41" s="19">
        <f>1/(1+Assumptions!$F$24)^N40</f>
        <v>0.40338544237237844</v>
      </c>
      <c r="O41" s="19">
        <f>1/(1+Assumptions!$F$24)^O40</f>
        <v>0.3601100556474629</v>
      </c>
      <c r="P41" s="19">
        <f>1/(1+Assumptions!$F$24)^P40</f>
        <v>0.32147727348749389</v>
      </c>
    </row>
    <row r="42" spans="1:17" ht="15.75" customHeight="1" x14ac:dyDescent="0.25">
      <c r="A42" s="26" t="s">
        <v>238</v>
      </c>
      <c r="B42" s="19" t="s">
        <v>8</v>
      </c>
      <c r="G42" s="19">
        <f t="shared" ref="G42:P42" si="12">G36*G41</f>
        <v>-739.31102097005407</v>
      </c>
      <c r="H42" s="19">
        <f t="shared" si="12"/>
        <v>-90.654284158666357</v>
      </c>
      <c r="I42" s="19">
        <f t="shared" si="12"/>
        <v>1522.8036180604465</v>
      </c>
      <c r="J42" s="19">
        <f t="shared" si="12"/>
        <v>3399.2741090563477</v>
      </c>
      <c r="K42" s="19">
        <f t="shared" si="12"/>
        <v>5509.4656410281086</v>
      </c>
      <c r="L42" s="19">
        <f t="shared" si="12"/>
        <v>7348.4439661075221</v>
      </c>
      <c r="M42" s="19">
        <f t="shared" si="12"/>
        <v>8859.1253717089294</v>
      </c>
      <c r="N42" s="19">
        <f t="shared" si="12"/>
        <v>10382.851359904807</v>
      </c>
      <c r="O42" s="19">
        <f t="shared" si="12"/>
        <v>11166.689810814079</v>
      </c>
      <c r="P42" s="19">
        <f t="shared" si="12"/>
        <v>11340.96512638393</v>
      </c>
    </row>
    <row r="44" spans="1:17" ht="15.75" customHeight="1" x14ac:dyDescent="0.25">
      <c r="A44" s="126" t="s">
        <v>239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</row>
    <row r="45" spans="1:17" ht="15.75" customHeight="1" x14ac:dyDescent="0.25">
      <c r="A45" s="26" t="s">
        <v>240</v>
      </c>
      <c r="B45" s="19" t="s">
        <v>8</v>
      </c>
      <c r="F45" s="19">
        <f>SUM(G42:P42)</f>
        <v>58699.653697935457</v>
      </c>
    </row>
    <row r="46" spans="1:17" ht="15.75" customHeight="1" x14ac:dyDescent="0.25">
      <c r="A46" s="26" t="s">
        <v>241</v>
      </c>
      <c r="B46" s="19" t="s">
        <v>8</v>
      </c>
      <c r="F46" s="19">
        <f>P36*(1+Assumptions!F28)</f>
        <v>37394.316878311532</v>
      </c>
    </row>
    <row r="47" spans="1:17" ht="15.75" customHeight="1" x14ac:dyDescent="0.25">
      <c r="A47" s="26" t="s">
        <v>242</v>
      </c>
      <c r="B47" s="19" t="s">
        <v>8</v>
      </c>
      <c r="F47" s="19">
        <f>F46/(Assumptions!F24-Assumptions!F28)</f>
        <v>621450.18905887287</v>
      </c>
    </row>
    <row r="48" spans="1:17" ht="15.75" customHeight="1" x14ac:dyDescent="0.25">
      <c r="A48" s="26" t="s">
        <v>243</v>
      </c>
      <c r="B48" s="19" t="s">
        <v>8</v>
      </c>
      <c r="F48" s="19">
        <f>F47/(1+Assumptions!F24)^Assumptions!F27</f>
        <v>199782.11238693408</v>
      </c>
    </row>
    <row r="49" spans="1:6" ht="15.75" customHeight="1" x14ac:dyDescent="0.25">
      <c r="A49" s="20" t="s">
        <v>244</v>
      </c>
      <c r="B49" s="20" t="s">
        <v>8</v>
      </c>
      <c r="C49" s="20"/>
      <c r="D49" s="20"/>
      <c r="E49" s="20"/>
      <c r="F49" s="20">
        <f>F45+F48</f>
        <v>258481.76608486954</v>
      </c>
    </row>
    <row r="50" spans="1:6" ht="15.75" customHeight="1" x14ac:dyDescent="0.25">
      <c r="A50" s="26" t="s">
        <v>245</v>
      </c>
      <c r="B50" s="19" t="s">
        <v>8</v>
      </c>
      <c r="F50" s="19">
        <f>-Assumptions!F10</f>
        <v>-2045</v>
      </c>
    </row>
    <row r="51" spans="1:6" ht="15.75" customHeight="1" thickBot="1" x14ac:dyDescent="0.3">
      <c r="A51" s="26" t="s">
        <v>246</v>
      </c>
      <c r="B51" s="19" t="s">
        <v>8</v>
      </c>
      <c r="F51" s="19">
        <f>Assumptions!F11</f>
        <v>16806</v>
      </c>
    </row>
    <row r="52" spans="1:6" ht="15.75" customHeight="1" x14ac:dyDescent="0.25">
      <c r="A52" s="127" t="s">
        <v>247</v>
      </c>
      <c r="B52" s="127" t="s">
        <v>8</v>
      </c>
      <c r="C52" s="127"/>
      <c r="D52" s="127"/>
      <c r="E52" s="127"/>
      <c r="F52" s="127">
        <f>F49+F50+F51</f>
        <v>273242.76608486951</v>
      </c>
    </row>
    <row r="53" spans="1:6" ht="15.75" customHeight="1" x14ac:dyDescent="0.25">
      <c r="A53" s="26" t="s">
        <v>176</v>
      </c>
      <c r="B53" s="19" t="s">
        <v>177</v>
      </c>
      <c r="F53" s="19">
        <f>Assumptions!F8</f>
        <v>951.5</v>
      </c>
    </row>
    <row r="54" spans="1:6" ht="15.75" customHeight="1" x14ac:dyDescent="0.25">
      <c r="A54" s="26" t="s">
        <v>248</v>
      </c>
      <c r="B54" s="19" t="s">
        <v>90</v>
      </c>
      <c r="F54" s="19">
        <f>F52/F53</f>
        <v>287.17053713596374</v>
      </c>
    </row>
    <row r="55" spans="1:6" ht="15.75" customHeight="1" x14ac:dyDescent="0.25">
      <c r="A55" s="26" t="s">
        <v>249</v>
      </c>
      <c r="B55" s="19" t="s">
        <v>90</v>
      </c>
      <c r="F55" s="19">
        <f>Assumptions!F7</f>
        <v>251</v>
      </c>
    </row>
    <row r="56" spans="1:6" ht="15.75" customHeight="1" thickBot="1" x14ac:dyDescent="0.3">
      <c r="A56" s="281" t="s">
        <v>250</v>
      </c>
      <c r="B56" s="282" t="s">
        <v>184</v>
      </c>
      <c r="C56" s="282"/>
      <c r="D56" s="282"/>
      <c r="E56" s="282"/>
      <c r="F56" s="282">
        <f>F54/F55-1</f>
        <v>0.14410572564128987</v>
      </c>
    </row>
  </sheetData>
  <mergeCells count="1"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406A-AB18-4A37-B72F-0274B6B65358}">
  <sheetPr>
    <tabColor rgb="FFFF1A1A"/>
  </sheetPr>
  <dimension ref="A1:I26"/>
  <sheetViews>
    <sheetView showGridLines="0" zoomScale="87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F30" sqref="F30"/>
    </sheetView>
  </sheetViews>
  <sheetFormatPr defaultRowHeight="15.75" customHeight="1" x14ac:dyDescent="0.25"/>
  <cols>
    <col min="1" max="1" width="45" style="19" customWidth="1"/>
    <col min="2" max="2" width="10.33203125" style="19" bestFit="1" customWidth="1"/>
    <col min="3" max="8" width="12.33203125" style="19" customWidth="1"/>
    <col min="9" max="16384" width="8.88671875" style="19"/>
  </cols>
  <sheetData>
    <row r="1" spans="1:9" ht="30" customHeight="1" x14ac:dyDescent="0.25">
      <c r="A1" s="283" t="s">
        <v>251</v>
      </c>
      <c r="B1" s="283"/>
      <c r="C1" s="125"/>
      <c r="D1" s="125"/>
      <c r="E1" s="125"/>
      <c r="F1" s="125"/>
      <c r="G1" s="125"/>
      <c r="H1" s="125"/>
    </row>
    <row r="2" spans="1:9" ht="15.75" customHeight="1" x14ac:dyDescent="0.25">
      <c r="A2" s="23" t="s">
        <v>252</v>
      </c>
      <c r="B2" s="23"/>
      <c r="C2" s="23"/>
      <c r="D2" s="23"/>
      <c r="E2" s="23"/>
      <c r="F2" s="23"/>
      <c r="G2" s="23"/>
      <c r="H2" s="23"/>
    </row>
    <row r="3" spans="1:9" ht="21.95" customHeight="1" x14ac:dyDescent="0.25">
      <c r="A3" s="134" t="s">
        <v>322</v>
      </c>
      <c r="B3" s="135" t="str">
        <f>Assumptions!T7</f>
        <v>Optimistic Case</v>
      </c>
      <c r="C3" s="135"/>
      <c r="D3" s="134" t="s">
        <v>316</v>
      </c>
      <c r="E3" s="284">
        <f>Assumptions!F24</f>
        <v>0.12017266956655313</v>
      </c>
      <c r="F3" s="134" t="s">
        <v>317</v>
      </c>
      <c r="G3" s="284">
        <f>Assumptions!F28</f>
        <v>0.06</v>
      </c>
      <c r="H3" s="134" t="s">
        <v>318</v>
      </c>
      <c r="I3" s="285">
        <f>DCF!F54</f>
        <v>287.17053713596374</v>
      </c>
    </row>
    <row r="5" spans="1:9" ht="15.75" customHeight="1" x14ac:dyDescent="0.25">
      <c r="A5" s="136" t="str">
        <f>"Active case → "&amp;Assumptions!T7&amp;": WACC "&amp;TEXT(Assumptions!F24,"0.00%")&amp;", terminal g "&amp;TEXT(Assumptions!F28,"0.00%")&amp;" → ₹"&amp;TEXT(DCF!F54,"0.00")&amp;" / share (vs current ₹"&amp;TEXT(DCF!F55,"0.00")&amp;", upside "&amp;TEXT(DCF!F56,"0.0%;(0.0%)")&amp;")"</f>
        <v>Active case → Optimistic Case: WACC 12.02%, terminal g 6.00% → ₹287.17 / share (vs current ₹251.00, upside 14.4%)</v>
      </c>
      <c r="B5" s="286"/>
      <c r="C5" s="286"/>
      <c r="D5" s="286"/>
      <c r="E5" s="286"/>
      <c r="F5" s="286"/>
      <c r="G5" s="286"/>
      <c r="H5" s="286"/>
    </row>
    <row r="7" spans="1:9" ht="15.75" customHeight="1" thickBot="1" x14ac:dyDescent="0.3">
      <c r="A7" s="126" t="s">
        <v>253</v>
      </c>
      <c r="B7" s="126"/>
      <c r="C7" s="126"/>
      <c r="D7" s="126"/>
      <c r="E7" s="126"/>
      <c r="F7" s="126"/>
      <c r="G7" s="126"/>
      <c r="H7" s="126"/>
    </row>
    <row r="8" spans="1:9" ht="15.75" customHeight="1" x14ac:dyDescent="0.25">
      <c r="A8" s="128" t="s">
        <v>254</v>
      </c>
      <c r="B8" s="287"/>
      <c r="C8" s="288">
        <v>0.11</v>
      </c>
      <c r="D8" s="288">
        <v>0.115</v>
      </c>
      <c r="E8" s="288">
        <v>0.12</v>
      </c>
      <c r="F8" s="288">
        <v>0.13</v>
      </c>
      <c r="G8" s="288">
        <v>0.14000000000000001</v>
      </c>
      <c r="H8" s="289">
        <v>0.15</v>
      </c>
    </row>
    <row r="9" spans="1:9" ht="15.75" customHeight="1" x14ac:dyDescent="0.25">
      <c r="B9" s="290">
        <v>0.03</v>
      </c>
      <c r="C9" s="291" cm="1">
        <f t="array" ref="C9">(SUMPRODUCT(DCF!$G$36:$P$36/(1+C$8)^DCF!$G$40:$P$40)+DCF!$P$36*(1+$B9)/(C$8-$B9)/(1+C$8)^Assumptions!$F$27-Assumptions!$F$10+Assumptions!$F$11)/Assumptions!$F$8</f>
        <v>249.77679399410178</v>
      </c>
      <c r="D9" s="291" cm="1">
        <f t="array" ref="D9">(SUMPRODUCT(DCF!$G$36:$P$36/(1+D$8)^DCF!$G$40:$P$40)+DCF!$P$36*(1+$B9)/(D$8-$B9)/(1+D$8)^Assumptions!$F$27-Assumptions!$F$10+Assumptions!$F$11)/Assumptions!$F$8</f>
        <v>230.69753481650517</v>
      </c>
      <c r="E9" s="291" cm="1">
        <f t="array" ref="E9">(SUMPRODUCT(DCF!$G$36:$P$36/(1+E$8)^DCF!$G$40:$P$40)+DCF!$P$36*(1+$B9)/(E$8-$B9)/(1+E$8)^Assumptions!$F$27-Assumptions!$F$10+Assumptions!$F$11)/Assumptions!$F$8</f>
        <v>213.89492490304721</v>
      </c>
      <c r="F9" s="291" cm="1">
        <f t="array" ref="F9">(SUMPRODUCT(DCF!$G$36:$P$36/(1+F$8)^DCF!$G$40:$P$40)+DCF!$P$36*(1+$B9)/(F$8-$B9)/(1+F$8)^Assumptions!$F$27-Assumptions!$F$10+Assumptions!$F$11)/Assumptions!$F$8</f>
        <v>185.73248891839231</v>
      </c>
      <c r="G9" s="291" cm="1">
        <f t="array" ref="G9">(SUMPRODUCT(DCF!$G$36:$P$36/(1+G$8)^DCF!$G$40:$P$40)+DCF!$P$36*(1+$B9)/(G$8-$B9)/(1+G$8)^Assumptions!$F$27-Assumptions!$F$10+Assumptions!$F$11)/Assumptions!$F$8</f>
        <v>163.1477528670884</v>
      </c>
      <c r="H9" s="292" cm="1">
        <f t="array" ref="H9">(SUMPRODUCT(DCF!$G$36:$P$36/(1+H$8)^DCF!$G$40:$P$40)+DCF!$P$36*(1+$B9)/(H$8-$B9)/(1+H$8)^Assumptions!$F$27-Assumptions!$F$10+Assumptions!$F$11)/Assumptions!$F$8</f>
        <v>144.71572142967733</v>
      </c>
    </row>
    <row r="10" spans="1:9" ht="15.75" customHeight="1" x14ac:dyDescent="0.25">
      <c r="B10" s="290">
        <v>0.04</v>
      </c>
      <c r="C10" s="291" cm="1">
        <f t="array" ref="C10">(SUMPRODUCT(DCF!$G$36:$P$36/(1+C$8)^DCF!$G$40:$P$40)+DCF!$P$36*(1+$B10)/(C$8-$B10)/(1+C$8)^Assumptions!$F$27-Assumptions!$F$10+Assumptions!$F$11)/Assumptions!$F$8</f>
        <v>275.65869131539063</v>
      </c>
      <c r="D10" s="291" cm="1">
        <f t="array" ref="D10">(SUMPRODUCT(DCF!$G$36:$P$36/(1+D$8)^DCF!$G$40:$P$40)+DCF!$P$36*(1+$B10)/(D$8-$B10)/(1+D$8)^Assumptions!$F$27-Assumptions!$F$10+Assumptions!$F$11)/Assumptions!$F$8</f>
        <v>252.53171804281928</v>
      </c>
      <c r="E10" s="291" cm="1">
        <f t="array" ref="E10">(SUMPRODUCT(DCF!$G$36:$P$36/(1+E$8)^DCF!$G$40:$P$40)+DCF!$P$36*(1+$B10)/(E$8-$B10)/(1+E$8)^Assumptions!$F$27-Assumptions!$F$10+Assumptions!$F$11)/Assumptions!$F$8</f>
        <v>232.46425538704668</v>
      </c>
      <c r="F10" s="291" cm="1">
        <f t="array" ref="F10">(SUMPRODUCT(DCF!$G$36:$P$36/(1+F$8)^DCF!$G$40:$P$40)+DCF!$P$36*(1+$B10)/(F$8-$B10)/(1+F$8)^Assumptions!$F$27-Assumptions!$F$10+Assumptions!$F$11)/Assumptions!$F$8</f>
        <v>199.4458037038188</v>
      </c>
      <c r="G10" s="291" cm="1">
        <f t="array" ref="G10">(SUMPRODUCT(DCF!$G$36:$P$36/(1+G$8)^DCF!$G$40:$P$40)+DCF!$P$36*(1+$B10)/(G$8-$B10)/(1+G$8)^Assumptions!$F$27-Assumptions!$F$10+Assumptions!$F$11)/Assumptions!$F$8</f>
        <v>173.51240185734247</v>
      </c>
      <c r="H10" s="292" cm="1">
        <f t="array" ref="H10">(SUMPRODUCT(DCF!$G$36:$P$36/(1+H$8)^DCF!$G$40:$P$40)+DCF!$P$36*(1+$B10)/(H$8-$B10)/(1+H$8)^Assumptions!$F$27-Assumptions!$F$10+Assumptions!$F$11)/Assumptions!$F$8</f>
        <v>152.70001416750063</v>
      </c>
    </row>
    <row r="11" spans="1:9" ht="15.75" customHeight="1" x14ac:dyDescent="0.25">
      <c r="B11" s="290">
        <v>0.05</v>
      </c>
      <c r="C11" s="291" cm="1">
        <f t="array" ref="C11">(SUMPRODUCT(DCF!$G$36:$P$36/(1+C$8)^DCF!$G$40:$P$40)+DCF!$P$36*(1+$B11)/(C$8-$B11)/(1+C$8)^Assumptions!$F$27-Assumptions!$F$10+Assumptions!$F$11)/Assumptions!$F$8</f>
        <v>310.16788774377585</v>
      </c>
      <c r="D11" s="291" cm="1">
        <f t="array" ref="D11">(SUMPRODUCT(DCF!$G$36:$P$36/(1+D$8)^DCF!$G$40:$P$40)+DCF!$P$36*(1+$B11)/(D$8-$B11)/(1+D$8)^Assumptions!$F$27-Assumptions!$F$10+Assumptions!$F$11)/Assumptions!$F$8</f>
        <v>281.08411149261468</v>
      </c>
      <c r="E11" s="291" cm="1">
        <f t="array" ref="E11">(SUMPRODUCT(DCF!$G$36:$P$36/(1+E$8)^DCF!$G$40:$P$40)+DCF!$P$36*(1+$B11)/(E$8-$B11)/(1+E$8)^Assumptions!$F$27-Assumptions!$F$10+Assumptions!$F$11)/Assumptions!$F$8</f>
        <v>256.33910886647453</v>
      </c>
      <c r="F11" s="293" cm="1">
        <f t="array" ref="F11">(SUMPRODUCT(DCF!$G$36:$P$36/(1+F$8)^DCF!$G$40:$P$40)+DCF!$P$36*(1+$B11)/(F$8-$B11)/(1+F$8)^Assumptions!$F$27-Assumptions!$F$10+Assumptions!$F$11)/Assumptions!$F$8</f>
        <v>216.58744718560189</v>
      </c>
      <c r="G11" s="291" cm="1">
        <f t="array" ref="G11">(SUMPRODUCT(DCF!$G$36:$P$36/(1+G$8)^DCF!$G$40:$P$40)+DCF!$P$36*(1+$B11)/(G$8-$B11)/(1+G$8)^Assumptions!$F$27-Assumptions!$F$10+Assumptions!$F$11)/Assumptions!$F$8</f>
        <v>186.18030617876411</v>
      </c>
      <c r="H11" s="292" cm="1">
        <f t="array" ref="H11">(SUMPRODUCT(DCF!$G$36:$P$36/(1+H$8)^DCF!$G$40:$P$40)+DCF!$P$36*(1+$B11)/(H$8-$B11)/(1+H$8)^Assumptions!$F$27-Assumptions!$F$10+Assumptions!$F$11)/Assumptions!$F$8</f>
        <v>162.28116545288856</v>
      </c>
    </row>
    <row r="12" spans="1:9" ht="15.75" customHeight="1" x14ac:dyDescent="0.25">
      <c r="B12" s="290">
        <v>0.06</v>
      </c>
      <c r="C12" s="291" cm="1">
        <f t="array" ref="C12">(SUMPRODUCT(DCF!$G$36:$P$36/(1+C$8)^DCF!$G$40:$P$40)+DCF!$P$36*(1+$B12)/(C$8-$B12)/(1+C$8)^Assumptions!$F$27-Assumptions!$F$10+Assumptions!$F$11)/Assumptions!$F$8</f>
        <v>358.48076274351502</v>
      </c>
      <c r="D12" s="291" cm="1">
        <f t="array" ref="D12">(SUMPRODUCT(DCF!$G$36:$P$36/(1+D$8)^DCF!$G$40:$P$40)+DCF!$P$36*(1+$B12)/(D$8-$B12)/(1+D$8)^Assumptions!$F$27-Assumptions!$F$10+Assumptions!$F$11)/Assumptions!$F$8</f>
        <v>320.01919346960835</v>
      </c>
      <c r="E12" s="291" cm="1">
        <f t="array" ref="E12">(SUMPRODUCT(DCF!$G$36:$P$36/(1+E$8)^DCF!$G$40:$P$40)+DCF!$P$36*(1+$B12)/(E$8-$B12)/(1+E$8)^Assumptions!$F$27-Assumptions!$F$10+Assumptions!$F$11)/Assumptions!$F$8</f>
        <v>288.17224683904487</v>
      </c>
      <c r="F12" s="291" cm="1">
        <f t="array" ref="F12">(SUMPRODUCT(DCF!$G$36:$P$36/(1+F$8)^DCF!$G$40:$P$40)+DCF!$P$36*(1+$B12)/(F$8-$B12)/(1+F$8)^Assumptions!$F$27-Assumptions!$F$10+Assumptions!$F$11)/Assumptions!$F$8</f>
        <v>238.62670309075153</v>
      </c>
      <c r="G12" s="291" cm="1">
        <f t="array" ref="G12">(SUMPRODUCT(DCF!$G$36:$P$36/(1+G$8)^DCF!$G$40:$P$40)+DCF!$P$36*(1+$B12)/(G$8-$B12)/(1+G$8)^Assumptions!$F$27-Assumptions!$F$10+Assumptions!$F$11)/Assumptions!$F$8</f>
        <v>202.01518658054107</v>
      </c>
      <c r="H12" s="292" cm="1">
        <f t="array" ref="H12">(SUMPRODUCT(DCF!$G$36:$P$36/(1+H$8)^DCF!$G$40:$P$40)+DCF!$P$36*(1+$B12)/(H$8-$B12)/(1+H$8)^Assumptions!$F$27-Assumptions!$F$10+Assumptions!$F$11)/Assumptions!$F$8</f>
        <v>173.99146146836273</v>
      </c>
    </row>
    <row r="13" spans="1:9" ht="15.75" customHeight="1" thickBot="1" x14ac:dyDescent="0.3">
      <c r="B13" s="294">
        <v>7.0000000000000007E-2</v>
      </c>
      <c r="C13" s="295" cm="1">
        <f t="array" ref="C13">(SUMPRODUCT(DCF!$G$36:$P$36/(1+C$8)^DCF!$G$40:$P$40)+DCF!$P$36*(1+$B13)/(C$8-$B13)/(1+C$8)^Assumptions!$F$27-Assumptions!$F$10+Assumptions!$F$11)/Assumptions!$F$8</f>
        <v>430.95007524312393</v>
      </c>
      <c r="D13" s="295" cm="1">
        <f t="array" ref="D13">(SUMPRODUCT(DCF!$G$36:$P$36/(1+D$8)^DCF!$G$40:$P$40)+DCF!$P$36*(1+$B13)/(D$8-$B13)/(1+D$8)^Assumptions!$F$27-Assumptions!$F$10+Assumptions!$F$11)/Assumptions!$F$8</f>
        <v>376.25875632526601</v>
      </c>
      <c r="E13" s="295" cm="1">
        <f t="array" ref="E13">(SUMPRODUCT(DCF!$G$36:$P$36/(1+E$8)^DCF!$G$40:$P$40)+DCF!$P$36*(1+$B13)/(E$8-$B13)/(1+E$8)^Assumptions!$F$27-Assumptions!$F$10+Assumptions!$F$11)/Assumptions!$F$8</f>
        <v>332.73864000064361</v>
      </c>
      <c r="F13" s="295" cm="1">
        <f t="array" ref="F13">(SUMPRODUCT(DCF!$G$36:$P$36/(1+F$8)^DCF!$G$40:$P$40)+DCF!$P$36*(1+$B13)/(F$8-$B13)/(1+F$8)^Assumptions!$F$27-Assumptions!$F$10+Assumptions!$F$11)/Assumptions!$F$8</f>
        <v>268.01237763095116</v>
      </c>
      <c r="G13" s="295" cm="1">
        <f t="array" ref="G13">(SUMPRODUCT(DCF!$G$36:$P$36/(1+G$8)^DCF!$G$40:$P$40)+DCF!$P$36*(1+$B13)/(G$8-$B13)/(1+G$8)^Assumptions!$F$27-Assumptions!$F$10+Assumptions!$F$11)/Assumptions!$F$8</f>
        <v>222.37431852568292</v>
      </c>
      <c r="H13" s="296" cm="1">
        <f t="array" ref="H13">(SUMPRODUCT(DCF!$G$36:$P$36/(1+H$8)^DCF!$G$40:$P$40)+DCF!$P$36*(1+$B13)/(H$8-$B13)/(1+H$8)^Assumptions!$F$27-Assumptions!$F$10+Assumptions!$F$11)/Assumptions!$F$8</f>
        <v>188.62933148770543</v>
      </c>
    </row>
    <row r="15" spans="1:9" ht="15.75" customHeight="1" thickBot="1" x14ac:dyDescent="0.3">
      <c r="A15" s="126" t="s">
        <v>255</v>
      </c>
      <c r="B15" s="126"/>
      <c r="C15" s="126"/>
      <c r="D15" s="126"/>
      <c r="E15" s="126"/>
      <c r="F15" s="126"/>
      <c r="G15" s="126"/>
      <c r="H15" s="126"/>
    </row>
    <row r="16" spans="1:9" ht="15.75" customHeight="1" x14ac:dyDescent="0.25">
      <c r="A16" s="128" t="s">
        <v>256</v>
      </c>
      <c r="B16" s="287"/>
      <c r="C16" s="288">
        <v>0.11</v>
      </c>
      <c r="D16" s="288">
        <v>0.115</v>
      </c>
      <c r="E16" s="288">
        <v>0.12</v>
      </c>
      <c r="F16" s="288">
        <v>0.13</v>
      </c>
      <c r="G16" s="288">
        <v>0.14000000000000001</v>
      </c>
      <c r="H16" s="289">
        <v>0.15</v>
      </c>
    </row>
    <row r="17" spans="1:8" ht="15.75" customHeight="1" x14ac:dyDescent="0.25">
      <c r="B17" s="290">
        <v>0.1</v>
      </c>
      <c r="C17" s="291" cm="1">
        <f t="array" ref="C17">(SUMPRODUCT(DCF!$G$36:$P$36/(1+C$16)^DCF!$G$40:$P$40)+(DCF!$P$12*(1+Assumptions!$F$28)*(($B17-Assumptions!$Q$46-Assumptions!$Q$47)*(1-Assumptions!$Q$50)+Assumptions!$Q$47-Assumptions!$Q$48)-DCF!$P$12*Assumptions!$F$28*Assumptions!$Q$49)/(C$16-Assumptions!$F$28)/(1+C$16)^Assumptions!$F$27-Assumptions!$F$10+Assumptions!$F$11)/Assumptions!$F$8</f>
        <v>215.1157625824292</v>
      </c>
      <c r="D17" s="291" cm="1">
        <f t="array" ref="D17">(SUMPRODUCT(DCF!$G$36:$P$36/(1+D$16)^DCF!$G$40:$P$40)+(DCF!$P$12*(1+Assumptions!$F$28)*(($B17-Assumptions!$Q$46-Assumptions!$Q$47)*(1-Assumptions!$Q$50)+Assumptions!$Q$47-Assumptions!$Q$48)-DCF!$P$12*Assumptions!$F$28*Assumptions!$Q$49)/(D$16-Assumptions!$F$28)/(1+D$16)^Assumptions!$F$27-Assumptions!$F$10+Assumptions!$F$11)/Assumptions!$F$8</f>
        <v>195.4153127498887</v>
      </c>
      <c r="E17" s="291" cm="1">
        <f t="array" ref="E17">(SUMPRODUCT(DCF!$G$36:$P$36/(1+E$16)^DCF!$G$40:$P$40)+(DCF!$P$12*(1+Assumptions!$F$28)*(($B17-Assumptions!$Q$46-Assumptions!$Q$47)*(1-Assumptions!$Q$50)+Assumptions!$Q$47-Assumptions!$Q$48)-DCF!$P$12*Assumptions!$F$28*Assumptions!$Q$49)/(E$16-Assumptions!$F$28)/(1+E$16)^Assumptions!$F$27-Assumptions!$F$10+Assumptions!$F$11)/Assumptions!$F$8</f>
        <v>178.9499123863807</v>
      </c>
      <c r="F17" s="291" cm="1">
        <f t="array" ref="F17">(SUMPRODUCT(DCF!$G$36:$P$36/(1+F$16)^DCF!$G$40:$P$40)+(DCF!$P$12*(1+Assumptions!$F$28)*(($B17-Assumptions!$Q$46-Assumptions!$Q$47)*(1-Assumptions!$Q$50)+Assumptions!$Q$47-Assumptions!$Q$48)-DCF!$P$12*Assumptions!$F$28*Assumptions!$Q$49)/(F$16-Assumptions!$F$28)/(1+F$16)^Assumptions!$F$27-Assumptions!$F$10+Assumptions!$F$11)/Assumptions!$F$8</f>
        <v>152.9701770330752</v>
      </c>
      <c r="G17" s="291" cm="1">
        <f t="array" ref="G17">(SUMPRODUCT(DCF!$G$36:$P$36/(1+G$16)^DCF!$G$40:$P$40)+(DCF!$P$12*(1+Assumptions!$F$28)*(($B17-Assumptions!$Q$46-Assumptions!$Q$47)*(1-Assumptions!$Q$50)+Assumptions!$Q$47-Assumptions!$Q$48)-DCF!$P$12*Assumptions!$F$28*Assumptions!$Q$49)/(G$16-Assumptions!$F$28)/(1+G$16)^Assumptions!$F$27-Assumptions!$F$10+Assumptions!$F$11)/Assumptions!$F$8</f>
        <v>133.38669848372896</v>
      </c>
      <c r="H17" s="292" cm="1">
        <f t="array" ref="H17">(SUMPRODUCT(DCF!$G$36:$P$36/(1+H$16)^DCF!$G$40:$P$40)+(DCF!$P$12*(1+Assumptions!$F$28)*(($B17-Assumptions!$Q$46-Assumptions!$Q$47)*(1-Assumptions!$Q$50)+Assumptions!$Q$47-Assumptions!$Q$48)-DCF!$P$12*Assumptions!$F$28*Assumptions!$Q$49)/(H$16-Assumptions!$F$28)/(1+H$16)^Assumptions!$F$27-Assumptions!$F$10+Assumptions!$F$11)/Assumptions!$F$8</f>
        <v>118.09014716554923</v>
      </c>
    </row>
    <row r="18" spans="1:8" ht="15.75" customHeight="1" x14ac:dyDescent="0.25">
      <c r="B18" s="290">
        <v>0.12</v>
      </c>
      <c r="C18" s="291" cm="1">
        <f t="array" ref="C18">(SUMPRODUCT(DCF!$G$36:$P$36/(1+C$16)^DCF!$G$40:$P$40)+(DCF!$P$12*(1+Assumptions!$F$28)*(($B18-Assumptions!$Q$46-Assumptions!$Q$47)*(1-Assumptions!$Q$50)+Assumptions!$Q$47-Assumptions!$Q$48)-DCF!$P$12*Assumptions!$F$28*Assumptions!$Q$49)/(C$16-Assumptions!$F$28)/(1+C$16)^Assumptions!$F$27-Assumptions!$F$10+Assumptions!$F$11)/Assumptions!$F$8</f>
        <v>263.65908779777556</v>
      </c>
      <c r="D18" s="291" cm="1">
        <f t="array" ref="D18">(SUMPRODUCT(DCF!$G$36:$P$36/(1+D$16)^DCF!$G$40:$P$40)+(DCF!$P$12*(1+Assumptions!$F$28)*(($B18-Assumptions!$Q$46-Assumptions!$Q$47)*(1-Assumptions!$Q$50)+Assumptions!$Q$47-Assumptions!$Q$48)-DCF!$P$12*Assumptions!$F$28*Assumptions!$Q$49)/(D$16-Assumptions!$F$28)/(1+D$16)^Assumptions!$F$27-Assumptions!$F$10+Assumptions!$F$11)/Assumptions!$F$8</f>
        <v>237.60613127655304</v>
      </c>
      <c r="E18" s="291" cm="1">
        <f t="array" ref="E18">(SUMPRODUCT(DCF!$G$36:$P$36/(1+E$16)^DCF!$G$40:$P$40)+(DCF!$P$12*(1+Assumptions!$F$28)*(($B18-Assumptions!$Q$46-Assumptions!$Q$47)*(1-Assumptions!$Q$50)+Assumptions!$Q$47-Assumptions!$Q$48)-DCF!$P$12*Assumptions!$F$28*Assumptions!$Q$49)/(E$16-Assumptions!$F$28)/(1+E$16)^Assumptions!$F$27-Assumptions!$F$10+Assumptions!$F$11)/Assumptions!$F$8</f>
        <v>215.93254619628985</v>
      </c>
      <c r="F18" s="291" cm="1">
        <f t="array" ref="F18">(SUMPRODUCT(DCF!$G$36:$P$36/(1+F$16)^DCF!$G$40:$P$40)+(DCF!$P$12*(1+Assumptions!$F$28)*(($B18-Assumptions!$Q$46-Assumptions!$Q$47)*(1-Assumptions!$Q$50)+Assumptions!$Q$47-Assumptions!$Q$48)-DCF!$P$12*Assumptions!$F$28*Assumptions!$Q$49)/(F$16-Assumptions!$F$28)/(1+F$16)^Assumptions!$F$27-Assumptions!$F$10+Assumptions!$F$11)/Assumptions!$F$8</f>
        <v>181.9734386140926</v>
      </c>
      <c r="G18" s="291" cm="1">
        <f t="array" ref="G18">(SUMPRODUCT(DCF!$G$36:$P$36/(1+G$16)^DCF!$G$40:$P$40)+(DCF!$P$12*(1+Assumptions!$F$28)*(($B18-Assumptions!$Q$46-Assumptions!$Q$47)*(1-Assumptions!$Q$50)+Assumptions!$Q$47-Assumptions!$Q$48)-DCF!$P$12*Assumptions!$F$28*Assumptions!$Q$49)/(G$16-Assumptions!$F$28)/(1+G$16)^Assumptions!$F$27-Assumptions!$F$10+Assumptions!$F$11)/Assumptions!$F$8</f>
        <v>156.62427399363608</v>
      </c>
      <c r="H18" s="292" cm="1">
        <f t="array" ref="H18">(SUMPRODUCT(DCF!$G$36:$P$36/(1+H$16)^DCF!$G$40:$P$40)+(DCF!$P$12*(1+Assumptions!$F$28)*(($B18-Assumptions!$Q$46-Assumptions!$Q$47)*(1-Assumptions!$Q$50)+Assumptions!$Q$47-Assumptions!$Q$48)-DCF!$P$12*Assumptions!$F$28*Assumptions!$Q$49)/(H$16-Assumptions!$F$28)/(1+H$16)^Assumptions!$F$27-Assumptions!$F$10+Assumptions!$F$11)/Assumptions!$F$8</f>
        <v>137.01830729610907</v>
      </c>
    </row>
    <row r="19" spans="1:8" ht="15.75" customHeight="1" x14ac:dyDescent="0.25">
      <c r="B19" s="290">
        <v>0.13500000000000001</v>
      </c>
      <c r="C19" s="291" cm="1">
        <f t="array" ref="C19">(SUMPRODUCT(DCF!$G$36:$P$36/(1+C$16)^DCF!$G$40:$P$40)+(DCF!$P$12*(1+Assumptions!$F$28)*(($B19-Assumptions!$Q$46-Assumptions!$Q$47)*(1-Assumptions!$Q$50)+Assumptions!$Q$47-Assumptions!$Q$48)-DCF!$P$12*Assumptions!$F$28*Assumptions!$Q$49)/(C$16-Assumptions!$F$28)/(1+C$16)^Assumptions!$F$27-Assumptions!$F$10+Assumptions!$F$11)/Assumptions!$F$8</f>
        <v>300.0665817092854</v>
      </c>
      <c r="D19" s="291" cm="1">
        <f t="array" ref="D19">(SUMPRODUCT(DCF!$G$36:$P$36/(1+D$16)^DCF!$G$40:$P$40)+(DCF!$P$12*(1+Assumptions!$F$28)*(($B19-Assumptions!$Q$46-Assumptions!$Q$47)*(1-Assumptions!$Q$50)+Assumptions!$Q$47-Assumptions!$Q$48)-DCF!$P$12*Assumptions!$F$28*Assumptions!$Q$49)/(D$16-Assumptions!$F$28)/(1+D$16)^Assumptions!$F$27-Assumptions!$F$10+Assumptions!$F$11)/Assumptions!$F$8</f>
        <v>269.24924517155137</v>
      </c>
      <c r="E19" s="291" cm="1">
        <f t="array" ref="E19">(SUMPRODUCT(DCF!$G$36:$P$36/(1+E$16)^DCF!$G$40:$P$40)+(DCF!$P$12*(1+Assumptions!$F$28)*(($B19-Assumptions!$Q$46-Assumptions!$Q$47)*(1-Assumptions!$Q$50)+Assumptions!$Q$47-Assumptions!$Q$48)-DCF!$P$12*Assumptions!$F$28*Assumptions!$Q$49)/(E$16-Assumptions!$F$28)/(1+E$16)^Assumptions!$F$27-Assumptions!$F$10+Assumptions!$F$11)/Assumptions!$F$8</f>
        <v>243.66952155372181</v>
      </c>
      <c r="F19" s="293" cm="1">
        <f t="array" ref="F19">(SUMPRODUCT(DCF!$G$36:$P$36/(1+F$16)^DCF!$G$40:$P$40)+(DCF!$P$12*(1+Assumptions!$F$28)*(($B19-Assumptions!$Q$46-Assumptions!$Q$47)*(1-Assumptions!$Q$50)+Assumptions!$Q$47-Assumptions!$Q$48)-DCF!$P$12*Assumptions!$F$28*Assumptions!$Q$49)/(F$16-Assumptions!$F$28)/(1+F$16)^Assumptions!$F$27-Assumptions!$F$10+Assumptions!$F$11)/Assumptions!$F$8</f>
        <v>203.72588479985566</v>
      </c>
      <c r="G19" s="291" cm="1">
        <f t="array" ref="G19">(SUMPRODUCT(DCF!$G$36:$P$36/(1+G$16)^DCF!$G$40:$P$40)+(DCF!$P$12*(1+Assumptions!$F$28)*(($B19-Assumptions!$Q$46-Assumptions!$Q$47)*(1-Assumptions!$Q$50)+Assumptions!$Q$47-Assumptions!$Q$48)-DCF!$P$12*Assumptions!$F$28*Assumptions!$Q$49)/(G$16-Assumptions!$F$28)/(1+G$16)^Assumptions!$F$27-Assumptions!$F$10+Assumptions!$F$11)/Assumptions!$F$8</f>
        <v>174.05245562606646</v>
      </c>
      <c r="H19" s="292" cm="1">
        <f t="array" ref="H19">(SUMPRODUCT(DCF!$G$36:$P$36/(1+H$16)^DCF!$G$40:$P$40)+(DCF!$P$12*(1+Assumptions!$F$28)*(($B19-Assumptions!$Q$46-Assumptions!$Q$47)*(1-Assumptions!$Q$50)+Assumptions!$Q$47-Assumptions!$Q$48)-DCF!$P$12*Assumptions!$F$28*Assumptions!$Q$49)/(H$16-Assumptions!$F$28)/(1+H$16)^Assumptions!$F$27-Assumptions!$F$10+Assumptions!$F$11)/Assumptions!$F$8</f>
        <v>151.21442739402897</v>
      </c>
    </row>
    <row r="20" spans="1:8" ht="15.75" customHeight="1" x14ac:dyDescent="0.25">
      <c r="B20" s="290">
        <v>0.16</v>
      </c>
      <c r="C20" s="291" cm="1">
        <f t="array" ref="C20">(SUMPRODUCT(DCF!$G$36:$P$36/(1+C$16)^DCF!$G$40:$P$40)+(DCF!$P$12*(1+Assumptions!$F$28)*(($B20-Assumptions!$Q$46-Assumptions!$Q$47)*(1-Assumptions!$Q$50)+Assumptions!$Q$47-Assumptions!$Q$48)-DCF!$P$12*Assumptions!$F$28*Assumptions!$Q$49)/(C$16-Assumptions!$F$28)/(1+C$16)^Assumptions!$F$27-Assumptions!$F$10+Assumptions!$F$11)/Assumptions!$F$8</f>
        <v>360.74573822846838</v>
      </c>
      <c r="D20" s="291" cm="1">
        <f t="array" ref="D20">(SUMPRODUCT(DCF!$G$36:$P$36/(1+D$16)^DCF!$G$40:$P$40)+(DCF!$P$12*(1+Assumptions!$F$28)*(($B20-Assumptions!$Q$46-Assumptions!$Q$47)*(1-Assumptions!$Q$50)+Assumptions!$Q$47-Assumptions!$Q$48)-DCF!$P$12*Assumptions!$F$28*Assumptions!$Q$49)/(D$16-Assumptions!$F$28)/(1+D$16)^Assumptions!$F$27-Assumptions!$F$10+Assumptions!$F$11)/Assumptions!$F$8</f>
        <v>321.98776832988182</v>
      </c>
      <c r="E20" s="291" cm="1">
        <f t="array" ref="E20">(SUMPRODUCT(DCF!$G$36:$P$36/(1+E$16)^DCF!$G$40:$P$40)+(DCF!$P$12*(1+Assumptions!$F$28)*(($B20-Assumptions!$Q$46-Assumptions!$Q$47)*(1-Assumptions!$Q$50)+Assumptions!$Q$47-Assumptions!$Q$48)-DCF!$P$12*Assumptions!$F$28*Assumptions!$Q$49)/(E$16-Assumptions!$F$28)/(1+E$16)^Assumptions!$F$27-Assumptions!$F$10+Assumptions!$F$11)/Assumptions!$F$8</f>
        <v>289.89781381610828</v>
      </c>
      <c r="F20" s="291" cm="1">
        <f t="array" ref="F20">(SUMPRODUCT(DCF!$G$36:$P$36/(1+F$16)^DCF!$G$40:$P$40)+(DCF!$P$12*(1+Assumptions!$F$28)*(($B20-Assumptions!$Q$46-Assumptions!$Q$47)*(1-Assumptions!$Q$50)+Assumptions!$Q$47-Assumptions!$Q$48)-DCF!$P$12*Assumptions!$F$28*Assumptions!$Q$49)/(F$16-Assumptions!$F$28)/(1+F$16)^Assumptions!$F$27-Assumptions!$F$10+Assumptions!$F$11)/Assumptions!$F$8</f>
        <v>239.97996177612745</v>
      </c>
      <c r="G20" s="291" cm="1">
        <f t="array" ref="G20">(SUMPRODUCT(DCF!$G$36:$P$36/(1+G$16)^DCF!$G$40:$P$40)+(DCF!$P$12*(1+Assumptions!$F$28)*(($B20-Assumptions!$Q$46-Assumptions!$Q$47)*(1-Assumptions!$Q$50)+Assumptions!$Q$47-Assumptions!$Q$48)-DCF!$P$12*Assumptions!$F$28*Assumptions!$Q$49)/(G$16-Assumptions!$F$28)/(1+G$16)^Assumptions!$F$27-Assumptions!$F$10+Assumptions!$F$11)/Assumptions!$F$8</f>
        <v>203.09942501345037</v>
      </c>
      <c r="H20" s="292" cm="1">
        <f t="array" ref="H20">(SUMPRODUCT(DCF!$G$36:$P$36/(1+H$16)^DCF!$G$40:$P$40)+(DCF!$P$12*(1+Assumptions!$F$28)*(($B20-Assumptions!$Q$46-Assumptions!$Q$47)*(1-Assumptions!$Q$50)+Assumptions!$Q$47-Assumptions!$Q$48)-DCF!$P$12*Assumptions!$F$28*Assumptions!$Q$49)/(H$16-Assumptions!$F$28)/(1+H$16)^Assumptions!$F$27-Assumptions!$F$10+Assumptions!$F$11)/Assumptions!$F$8</f>
        <v>174.87462755722876</v>
      </c>
    </row>
    <row r="21" spans="1:8" ht="15.75" customHeight="1" thickBot="1" x14ac:dyDescent="0.3">
      <c r="B21" s="294">
        <v>0.2</v>
      </c>
      <c r="C21" s="295" cm="1">
        <f t="array" ref="C21">(SUMPRODUCT(DCF!$G$36:$P$36/(1+C$16)^DCF!$G$40:$P$40)+(DCF!$P$12*(1+Assumptions!$F$28)*(($B21-Assumptions!$Q$46-Assumptions!$Q$47)*(1-Assumptions!$Q$50)+Assumptions!$Q$47-Assumptions!$Q$48)-DCF!$P$12*Assumptions!$F$28*Assumptions!$Q$49)/(C$16-Assumptions!$F$28)/(1+C$16)^Assumptions!$F$27-Assumptions!$F$10+Assumptions!$F$11)/Assumptions!$F$8</f>
        <v>457.83238865916127</v>
      </c>
      <c r="D21" s="295" cm="1">
        <f t="array" ref="D21">(SUMPRODUCT(DCF!$G$36:$P$36/(1+D$16)^DCF!$G$40:$P$40)+(DCF!$P$12*(1+Assumptions!$F$28)*(($B21-Assumptions!$Q$46-Assumptions!$Q$47)*(1-Assumptions!$Q$50)+Assumptions!$Q$47-Assumptions!$Q$48)-DCF!$P$12*Assumptions!$F$28*Assumptions!$Q$49)/(D$16-Assumptions!$F$28)/(1+D$16)^Assumptions!$F$27-Assumptions!$F$10+Assumptions!$F$11)/Assumptions!$F$8</f>
        <v>406.36940538321062</v>
      </c>
      <c r="E21" s="295" cm="1">
        <f t="array" ref="E21">(SUMPRODUCT(DCF!$G$36:$P$36/(1+E$16)^DCF!$G$40:$P$40)+(DCF!$P$12*(1+Assumptions!$F$28)*(($B21-Assumptions!$Q$46-Assumptions!$Q$47)*(1-Assumptions!$Q$50)+Assumptions!$Q$47-Assumptions!$Q$48)-DCF!$P$12*Assumptions!$F$28*Assumptions!$Q$49)/(E$16-Assumptions!$F$28)/(1+E$16)^Assumptions!$F$27-Assumptions!$F$10+Assumptions!$F$11)/Assumptions!$F$8</f>
        <v>363.8630814359268</v>
      </c>
      <c r="F21" s="295" cm="1">
        <f t="array" ref="F21">(SUMPRODUCT(DCF!$G$36:$P$36/(1+F$16)^DCF!$G$40:$P$40)+(DCF!$P$12*(1+Assumptions!$F$28)*(($B21-Assumptions!$Q$46-Assumptions!$Q$47)*(1-Assumptions!$Q$50)+Assumptions!$Q$47-Assumptions!$Q$48)-DCF!$P$12*Assumptions!$F$28*Assumptions!$Q$49)/(F$16-Assumptions!$F$28)/(1+F$16)^Assumptions!$F$27-Assumptions!$F$10+Assumptions!$F$11)/Assumptions!$F$8</f>
        <v>297.98648493816228</v>
      </c>
      <c r="G21" s="295" cm="1">
        <f t="array" ref="G21">(SUMPRODUCT(DCF!$G$36:$P$36/(1+G$16)^DCF!$G$40:$P$40)+(DCF!$P$12*(1+Assumptions!$F$28)*(($B21-Assumptions!$Q$46-Assumptions!$Q$47)*(1-Assumptions!$Q$50)+Assumptions!$Q$47-Assumptions!$Q$48)-DCF!$P$12*Assumptions!$F$28*Assumptions!$Q$49)/(G$16-Assumptions!$F$28)/(1+G$16)^Assumptions!$F$27-Assumptions!$F$10+Assumptions!$F$11)/Assumptions!$F$8</f>
        <v>249.57457603326461</v>
      </c>
      <c r="H21" s="296" cm="1">
        <f t="array" ref="H21">(SUMPRODUCT(DCF!$G$36:$P$36/(1+H$16)^DCF!$G$40:$P$40)+(DCF!$P$12*(1+Assumptions!$F$28)*(($B21-Assumptions!$Q$46-Assumptions!$Q$47)*(1-Assumptions!$Q$50)+Assumptions!$Q$47-Assumptions!$Q$48)-DCF!$P$12*Assumptions!$F$28*Assumptions!$Q$49)/(H$16-Assumptions!$F$28)/(1+H$16)^Assumptions!$F$27-Assumptions!$F$10+Assumptions!$F$11)/Assumptions!$F$8</f>
        <v>212.73094781834851</v>
      </c>
    </row>
    <row r="23" spans="1:8" ht="15.75" customHeight="1" x14ac:dyDescent="0.25">
      <c r="A23" s="126" t="s">
        <v>257</v>
      </c>
      <c r="B23" s="126"/>
      <c r="C23" s="126"/>
      <c r="D23" s="126"/>
      <c r="E23" s="126"/>
      <c r="F23" s="126"/>
      <c r="G23" s="126"/>
      <c r="H23" s="126"/>
    </row>
    <row r="24" spans="1:8" ht="15.75" customHeight="1" x14ac:dyDescent="0.25">
      <c r="A24" s="23" t="s">
        <v>258</v>
      </c>
    </row>
    <row r="25" spans="1:8" ht="15.75" customHeight="1" x14ac:dyDescent="0.25">
      <c r="A25" s="23" t="s">
        <v>259</v>
      </c>
    </row>
    <row r="26" spans="1:8" ht="15.75" customHeight="1" x14ac:dyDescent="0.25">
      <c r="A26" s="23" t="s">
        <v>260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D811-0915-4AF4-95B8-EE1295A8B24E}">
  <sheetPr>
    <tabColor rgb="FFFFC000"/>
  </sheetPr>
  <dimension ref="A1:F55"/>
  <sheetViews>
    <sheetView showGridLines="0" zoomScale="86" workbookViewId="0">
      <pane xSplit="2" ySplit="4" topLeftCell="C25" activePane="bottomRight" state="frozen"/>
      <selection pane="topRight" activeCell="C1" sqref="C1"/>
      <selection pane="bottomLeft" activeCell="A5" sqref="A5"/>
      <selection pane="bottomRight" activeCell="E35" sqref="E35"/>
    </sheetView>
  </sheetViews>
  <sheetFormatPr defaultRowHeight="15.75" x14ac:dyDescent="0.25"/>
  <cols>
    <col min="1" max="1" width="59.6640625" style="19" customWidth="1"/>
    <col min="2" max="2" width="6.33203125" style="19" customWidth="1"/>
    <col min="3" max="6" width="12.109375" style="19" customWidth="1"/>
    <col min="7" max="16384" width="8.88671875" style="19"/>
  </cols>
  <sheetData>
    <row r="1" spans="1:6" s="28" customFormat="1" ht="30.75" customHeight="1" x14ac:dyDescent="0.25">
      <c r="A1" s="125" t="s">
        <v>6</v>
      </c>
      <c r="B1" s="125"/>
      <c r="C1" s="125"/>
      <c r="D1" s="125"/>
      <c r="E1" s="125"/>
      <c r="F1" s="125"/>
    </row>
    <row r="2" spans="1:6" x14ac:dyDescent="0.25">
      <c r="A2" s="23" t="s">
        <v>7</v>
      </c>
      <c r="B2" s="23"/>
      <c r="C2" s="23"/>
      <c r="D2" s="23"/>
      <c r="E2" s="23"/>
      <c r="F2" s="23"/>
    </row>
    <row r="4" spans="1:6" x14ac:dyDescent="0.25">
      <c r="A4" s="128" t="s">
        <v>0</v>
      </c>
      <c r="B4" s="129" t="s">
        <v>8</v>
      </c>
      <c r="C4" s="129" t="s">
        <v>1</v>
      </c>
      <c r="D4" s="129" t="s">
        <v>9</v>
      </c>
      <c r="E4" s="129" t="s">
        <v>10</v>
      </c>
      <c r="F4" s="129" t="s">
        <v>11</v>
      </c>
    </row>
    <row r="5" spans="1:6" x14ac:dyDescent="0.25">
      <c r="A5" s="126" t="s">
        <v>12</v>
      </c>
      <c r="B5" s="126"/>
      <c r="C5" s="126"/>
      <c r="D5" s="126"/>
      <c r="E5" s="126"/>
      <c r="F5" s="126"/>
    </row>
    <row r="6" spans="1:6" x14ac:dyDescent="0.25">
      <c r="A6" s="29" t="s">
        <v>13</v>
      </c>
      <c r="B6" s="29"/>
      <c r="C6" s="29"/>
      <c r="D6" s="29"/>
      <c r="E6" s="29"/>
      <c r="F6" s="29"/>
    </row>
    <row r="7" spans="1:6" x14ac:dyDescent="0.25">
      <c r="A7" s="26" t="s">
        <v>14</v>
      </c>
      <c r="B7" s="19" t="s">
        <v>8</v>
      </c>
      <c r="C7" s="19">
        <v>50.9</v>
      </c>
      <c r="D7" s="19">
        <v>208.5</v>
      </c>
      <c r="E7" s="19">
        <v>287</v>
      </c>
      <c r="F7" s="19">
        <v>965</v>
      </c>
    </row>
    <row r="8" spans="1:6" x14ac:dyDescent="0.25">
      <c r="A8" s="26" t="s">
        <v>3</v>
      </c>
      <c r="B8" s="19" t="s">
        <v>8</v>
      </c>
      <c r="C8" s="19">
        <v>0.6</v>
      </c>
      <c r="D8" s="19">
        <v>7.5</v>
      </c>
      <c r="E8" s="19">
        <v>18</v>
      </c>
      <c r="F8" s="19">
        <v>51</v>
      </c>
    </row>
    <row r="9" spans="1:6" x14ac:dyDescent="0.25">
      <c r="A9" s="26" t="s">
        <v>2</v>
      </c>
      <c r="B9" s="19" t="s">
        <v>8</v>
      </c>
      <c r="C9" s="19">
        <v>64.2</v>
      </c>
      <c r="D9" s="19">
        <v>427.2</v>
      </c>
      <c r="E9" s="19">
        <v>690</v>
      </c>
      <c r="F9" s="19">
        <v>1918</v>
      </c>
    </row>
    <row r="10" spans="1:6" x14ac:dyDescent="0.25">
      <c r="A10" s="26" t="s">
        <v>4</v>
      </c>
      <c r="B10" s="19" t="s">
        <v>8</v>
      </c>
      <c r="C10" s="19">
        <v>1209.3</v>
      </c>
      <c r="D10" s="19">
        <v>4716.6000000000004</v>
      </c>
      <c r="E10" s="19">
        <v>4717</v>
      </c>
      <c r="F10" s="19">
        <v>5737</v>
      </c>
    </row>
    <row r="11" spans="1:6" x14ac:dyDescent="0.25">
      <c r="A11" s="26" t="s">
        <v>15</v>
      </c>
      <c r="B11" s="19" t="s">
        <v>8</v>
      </c>
      <c r="C11" s="19">
        <v>79.900000000000006</v>
      </c>
      <c r="D11" s="19">
        <v>990.5</v>
      </c>
      <c r="E11" s="19">
        <v>754</v>
      </c>
      <c r="F11" s="19">
        <v>912</v>
      </c>
    </row>
    <row r="12" spans="1:6" x14ac:dyDescent="0.25">
      <c r="A12" s="26" t="s">
        <v>16</v>
      </c>
      <c r="B12" s="19" t="s">
        <v>8</v>
      </c>
      <c r="C12" s="19">
        <v>0</v>
      </c>
    </row>
    <row r="13" spans="1:6" x14ac:dyDescent="0.25">
      <c r="A13" s="26" t="s">
        <v>17</v>
      </c>
      <c r="B13" s="19" t="s">
        <v>8</v>
      </c>
      <c r="C13" s="19">
        <v>3086</v>
      </c>
      <c r="D13" s="19">
        <v>2279.6</v>
      </c>
      <c r="E13" s="19">
        <v>10365</v>
      </c>
      <c r="F13" s="19">
        <v>10920</v>
      </c>
    </row>
    <row r="14" spans="1:6" x14ac:dyDescent="0.25">
      <c r="A14" s="26" t="s">
        <v>18</v>
      </c>
      <c r="B14" s="19" t="s">
        <v>8</v>
      </c>
      <c r="C14" s="19">
        <v>5219.1000000000004</v>
      </c>
      <c r="D14" s="19">
        <v>1894.2</v>
      </c>
      <c r="E14" s="19">
        <v>747</v>
      </c>
      <c r="F14" s="19">
        <v>2744</v>
      </c>
    </row>
    <row r="15" spans="1:6" x14ac:dyDescent="0.25">
      <c r="A15" s="26" t="s">
        <v>19</v>
      </c>
      <c r="B15" s="19" t="s">
        <v>8</v>
      </c>
      <c r="C15" s="19">
        <v>67</v>
      </c>
      <c r="D15" s="19">
        <v>116.1</v>
      </c>
      <c r="E15" s="19">
        <v>221</v>
      </c>
      <c r="F15" s="19">
        <v>129</v>
      </c>
    </row>
    <row r="16" spans="1:6" x14ac:dyDescent="0.25">
      <c r="A16" s="26" t="s">
        <v>5</v>
      </c>
      <c r="B16" s="19" t="s">
        <v>8</v>
      </c>
      <c r="C16" s="19">
        <v>5</v>
      </c>
      <c r="D16" s="19">
        <v>127.5</v>
      </c>
      <c r="E16" s="19">
        <v>99</v>
      </c>
      <c r="F16" s="19">
        <v>546</v>
      </c>
    </row>
    <row r="17" spans="1:6" x14ac:dyDescent="0.25">
      <c r="A17" s="20" t="s">
        <v>20</v>
      </c>
      <c r="B17" s="20" t="s">
        <v>8</v>
      </c>
      <c r="C17" s="20">
        <v>9782</v>
      </c>
      <c r="D17" s="20">
        <v>10767.7</v>
      </c>
      <c r="E17" s="20">
        <v>17898</v>
      </c>
      <c r="F17" s="20">
        <v>23922</v>
      </c>
    </row>
    <row r="18" spans="1:6" x14ac:dyDescent="0.25">
      <c r="A18" s="29" t="s">
        <v>21</v>
      </c>
      <c r="B18" s="29"/>
      <c r="C18" s="29"/>
      <c r="D18" s="29"/>
      <c r="E18" s="29"/>
      <c r="F18" s="29"/>
    </row>
    <row r="19" spans="1:6" x14ac:dyDescent="0.25">
      <c r="A19" s="26" t="s">
        <v>22</v>
      </c>
      <c r="B19" s="19" t="s">
        <v>8</v>
      </c>
      <c r="C19" s="19">
        <v>39.700000000000003</v>
      </c>
      <c r="D19" s="19">
        <v>82.7</v>
      </c>
      <c r="E19" s="19">
        <v>88</v>
      </c>
      <c r="F19" s="19">
        <v>176</v>
      </c>
    </row>
    <row r="20" spans="1:6" x14ac:dyDescent="0.25">
      <c r="A20" s="26" t="s">
        <v>23</v>
      </c>
      <c r="B20" s="19" t="s">
        <v>8</v>
      </c>
      <c r="C20" s="19">
        <v>1631.7</v>
      </c>
      <c r="D20" s="19">
        <v>4485</v>
      </c>
      <c r="E20" s="19">
        <v>1280</v>
      </c>
      <c r="F20" s="19">
        <v>2272</v>
      </c>
    </row>
    <row r="21" spans="1:6" x14ac:dyDescent="0.25">
      <c r="A21" s="26" t="s">
        <v>24</v>
      </c>
      <c r="B21" s="19" t="s">
        <v>8</v>
      </c>
      <c r="C21" s="19">
        <v>159.9</v>
      </c>
      <c r="D21" s="19">
        <v>456.9</v>
      </c>
      <c r="E21" s="19">
        <v>794</v>
      </c>
      <c r="F21" s="19">
        <v>1946</v>
      </c>
    </row>
    <row r="22" spans="1:6" x14ac:dyDescent="0.25">
      <c r="A22" s="26" t="s">
        <v>25</v>
      </c>
      <c r="B22" s="19" t="s">
        <v>8</v>
      </c>
      <c r="C22" s="19">
        <v>392.3</v>
      </c>
      <c r="D22" s="19">
        <v>218.1</v>
      </c>
      <c r="E22" s="19">
        <v>309</v>
      </c>
      <c r="F22" s="19">
        <v>666</v>
      </c>
    </row>
    <row r="23" spans="1:6" x14ac:dyDescent="0.25">
      <c r="A23" s="26" t="s">
        <v>26</v>
      </c>
      <c r="B23" s="19" t="s">
        <v>8</v>
      </c>
      <c r="C23" s="19">
        <v>1183.2</v>
      </c>
      <c r="D23" s="19">
        <v>798.7</v>
      </c>
      <c r="E23" s="19">
        <v>422</v>
      </c>
      <c r="F23" s="19">
        <v>2948</v>
      </c>
    </row>
    <row r="24" spans="1:6" x14ac:dyDescent="0.25">
      <c r="A24" s="26" t="s">
        <v>27</v>
      </c>
      <c r="B24" s="19" t="s">
        <v>8</v>
      </c>
      <c r="C24" s="19">
        <v>375</v>
      </c>
      <c r="D24" s="19">
        <v>0.4</v>
      </c>
      <c r="E24" s="19">
        <v>0</v>
      </c>
    </row>
    <row r="25" spans="1:6" x14ac:dyDescent="0.25">
      <c r="A25" s="26" t="s">
        <v>28</v>
      </c>
      <c r="B25" s="19" t="s">
        <v>8</v>
      </c>
      <c r="C25" s="19">
        <v>3667.4</v>
      </c>
      <c r="D25" s="19">
        <v>4417.7</v>
      </c>
      <c r="E25" s="19">
        <v>2324</v>
      </c>
      <c r="F25" s="19">
        <v>2769</v>
      </c>
    </row>
    <row r="26" spans="1:6" x14ac:dyDescent="0.25">
      <c r="A26" s="26" t="s">
        <v>29</v>
      </c>
      <c r="B26" s="19" t="s">
        <v>8</v>
      </c>
      <c r="C26" s="19">
        <v>95.8</v>
      </c>
      <c r="D26" s="19">
        <v>371.5</v>
      </c>
      <c r="E26" s="19">
        <v>241</v>
      </c>
      <c r="F26" s="19">
        <v>924</v>
      </c>
    </row>
    <row r="27" spans="1:6" ht="16.5" thickBot="1" x14ac:dyDescent="0.3">
      <c r="A27" s="20" t="s">
        <v>30</v>
      </c>
      <c r="B27" s="20" t="s">
        <v>8</v>
      </c>
      <c r="C27" s="20">
        <v>7545</v>
      </c>
      <c r="D27" s="20">
        <v>10831</v>
      </c>
      <c r="E27" s="20">
        <v>5458</v>
      </c>
      <c r="F27" s="20">
        <v>11701</v>
      </c>
    </row>
    <row r="28" spans="1:6" x14ac:dyDescent="0.25">
      <c r="A28" s="127" t="s">
        <v>31</v>
      </c>
      <c r="B28" s="127" t="s">
        <v>8</v>
      </c>
      <c r="C28" s="127">
        <v>17327</v>
      </c>
      <c r="D28" s="127">
        <v>21598.7</v>
      </c>
      <c r="E28" s="127">
        <v>23356</v>
      </c>
      <c r="F28" s="127">
        <v>35623</v>
      </c>
    </row>
    <row r="29" spans="1:6" x14ac:dyDescent="0.25">
      <c r="A29" s="126" t="s">
        <v>32</v>
      </c>
      <c r="B29" s="126"/>
      <c r="C29" s="126"/>
      <c r="D29" s="126"/>
      <c r="E29" s="126"/>
      <c r="F29" s="126"/>
    </row>
    <row r="30" spans="1:6" x14ac:dyDescent="0.25">
      <c r="A30" s="29" t="s">
        <v>33</v>
      </c>
      <c r="B30" s="29"/>
      <c r="C30" s="29"/>
      <c r="D30" s="29"/>
      <c r="E30" s="29"/>
      <c r="F30" s="29"/>
    </row>
    <row r="31" spans="1:6" x14ac:dyDescent="0.25">
      <c r="A31" s="26" t="s">
        <v>34</v>
      </c>
      <c r="B31" s="19" t="s">
        <v>8</v>
      </c>
      <c r="C31" s="19">
        <v>764.3</v>
      </c>
      <c r="D31" s="19">
        <v>836.4</v>
      </c>
      <c r="E31" s="19">
        <v>868</v>
      </c>
      <c r="F31" s="19">
        <v>907</v>
      </c>
    </row>
    <row r="32" spans="1:6" x14ac:dyDescent="0.25">
      <c r="A32" s="26" t="s">
        <v>35</v>
      </c>
      <c r="B32" s="19" t="s">
        <v>8</v>
      </c>
      <c r="C32" s="19">
        <v>15741.2</v>
      </c>
      <c r="D32" s="19">
        <v>18623.400000000001</v>
      </c>
      <c r="E32" s="19">
        <v>19545</v>
      </c>
      <c r="F32" s="19">
        <v>29410</v>
      </c>
    </row>
    <row r="33" spans="1:6" x14ac:dyDescent="0.25">
      <c r="A33" s="20" t="s">
        <v>36</v>
      </c>
      <c r="B33" s="20" t="s">
        <v>8</v>
      </c>
      <c r="C33" s="20">
        <v>16505.5</v>
      </c>
      <c r="D33" s="20">
        <v>19459.8</v>
      </c>
      <c r="E33" s="20">
        <v>20413</v>
      </c>
      <c r="F33" s="20">
        <v>30317</v>
      </c>
    </row>
    <row r="34" spans="1:6" x14ac:dyDescent="0.25">
      <c r="A34" s="26" t="s">
        <v>37</v>
      </c>
      <c r="B34" s="19" t="s">
        <v>8</v>
      </c>
      <c r="C34" s="19">
        <v>-6.6</v>
      </c>
      <c r="D34" s="19">
        <v>-6.6</v>
      </c>
      <c r="E34" s="19">
        <v>-7</v>
      </c>
      <c r="F34" s="19">
        <v>-7</v>
      </c>
    </row>
    <row r="35" spans="1:6" x14ac:dyDescent="0.25">
      <c r="A35" s="20" t="s">
        <v>38</v>
      </c>
      <c r="B35" s="20" t="s">
        <v>8</v>
      </c>
      <c r="C35" s="20">
        <v>16498.900000000001</v>
      </c>
      <c r="D35" s="20">
        <v>19453.2</v>
      </c>
      <c r="E35" s="20">
        <v>20406</v>
      </c>
      <c r="F35" s="20">
        <v>30310</v>
      </c>
    </row>
    <row r="36" spans="1:6" x14ac:dyDescent="0.25">
      <c r="A36" s="29" t="s">
        <v>39</v>
      </c>
      <c r="B36" s="29"/>
      <c r="C36" s="29"/>
      <c r="D36" s="29"/>
      <c r="E36" s="29"/>
      <c r="F36" s="29"/>
    </row>
    <row r="37" spans="1:6" x14ac:dyDescent="0.25">
      <c r="A37" s="29" t="s">
        <v>40</v>
      </c>
      <c r="B37" s="29"/>
      <c r="C37" s="29"/>
      <c r="D37" s="29"/>
      <c r="E37" s="29"/>
      <c r="F37" s="29"/>
    </row>
    <row r="38" spans="1:6" x14ac:dyDescent="0.25">
      <c r="A38" s="26" t="s">
        <v>41</v>
      </c>
      <c r="B38" s="19" t="s">
        <v>8</v>
      </c>
      <c r="C38" s="19">
        <v>0</v>
      </c>
      <c r="D38" s="19">
        <v>5.8</v>
      </c>
      <c r="E38" s="19">
        <v>0</v>
      </c>
      <c r="F38" s="19">
        <v>0</v>
      </c>
    </row>
    <row r="39" spans="1:6" x14ac:dyDescent="0.25">
      <c r="A39" s="26" t="s">
        <v>42</v>
      </c>
      <c r="B39" s="19" t="s">
        <v>8</v>
      </c>
      <c r="C39" s="19">
        <v>51</v>
      </c>
      <c r="D39" s="19">
        <v>350.8</v>
      </c>
      <c r="E39" s="19">
        <v>588</v>
      </c>
      <c r="F39" s="19">
        <v>1654</v>
      </c>
    </row>
    <row r="40" spans="1:6" x14ac:dyDescent="0.25">
      <c r="A40" s="26" t="s">
        <v>43</v>
      </c>
      <c r="B40" s="19" t="s">
        <v>8</v>
      </c>
      <c r="C40" s="19">
        <v>0</v>
      </c>
      <c r="D40" s="19">
        <v>4.8</v>
      </c>
      <c r="E40" s="19">
        <v>3</v>
      </c>
      <c r="F40" s="19">
        <v>1</v>
      </c>
    </row>
    <row r="41" spans="1:6" x14ac:dyDescent="0.25">
      <c r="A41" s="26" t="s">
        <v>44</v>
      </c>
      <c r="B41" s="19" t="s">
        <v>8</v>
      </c>
      <c r="C41" s="19">
        <v>65.3</v>
      </c>
      <c r="D41" s="19">
        <v>93.6</v>
      </c>
      <c r="E41" s="19">
        <v>88</v>
      </c>
      <c r="F41" s="19">
        <v>120</v>
      </c>
    </row>
    <row r="42" spans="1:6" x14ac:dyDescent="0.25">
      <c r="A42" s="26" t="s">
        <v>45</v>
      </c>
      <c r="B42" s="19" t="s">
        <v>8</v>
      </c>
      <c r="C42" s="19">
        <v>0</v>
      </c>
      <c r="D42" s="19">
        <v>249.5</v>
      </c>
      <c r="E42" s="19">
        <v>188</v>
      </c>
      <c r="F42" s="19">
        <v>212</v>
      </c>
    </row>
    <row r="43" spans="1:6" x14ac:dyDescent="0.25">
      <c r="A43" s="26" t="s">
        <v>46</v>
      </c>
      <c r="B43" s="19" t="s">
        <v>8</v>
      </c>
      <c r="C43" s="19">
        <v>0.3</v>
      </c>
      <c r="D43" s="19">
        <v>0</v>
      </c>
    </row>
    <row r="44" spans="1:6" x14ac:dyDescent="0.25">
      <c r="A44" s="20" t="s">
        <v>47</v>
      </c>
      <c r="B44" s="20" t="s">
        <v>8</v>
      </c>
      <c r="C44" s="20">
        <v>116.6</v>
      </c>
      <c r="D44" s="20">
        <v>704.5</v>
      </c>
      <c r="E44" s="20">
        <v>867</v>
      </c>
      <c r="F44" s="20">
        <v>1987</v>
      </c>
    </row>
    <row r="45" spans="1:6" x14ac:dyDescent="0.25">
      <c r="A45" s="29" t="s">
        <v>48</v>
      </c>
      <c r="B45" s="29"/>
      <c r="C45" s="29"/>
      <c r="D45" s="29"/>
      <c r="E45" s="29"/>
      <c r="F45" s="29"/>
    </row>
    <row r="46" spans="1:6" x14ac:dyDescent="0.25">
      <c r="A46" s="26" t="s">
        <v>49</v>
      </c>
      <c r="B46" s="19" t="s">
        <v>8</v>
      </c>
      <c r="C46" s="19">
        <v>0</v>
      </c>
      <c r="D46" s="19">
        <v>34.6</v>
      </c>
      <c r="E46" s="19">
        <v>0</v>
      </c>
      <c r="F46" s="19">
        <v>0</v>
      </c>
    </row>
    <row r="47" spans="1:6" x14ac:dyDescent="0.25">
      <c r="A47" s="26" t="s">
        <v>50</v>
      </c>
      <c r="B47" s="19" t="s">
        <v>8</v>
      </c>
      <c r="C47" s="19">
        <v>19.3</v>
      </c>
      <c r="D47" s="19">
        <v>115.4</v>
      </c>
      <c r="E47" s="19">
        <v>161</v>
      </c>
      <c r="F47" s="19">
        <v>391</v>
      </c>
    </row>
    <row r="48" spans="1:6" x14ac:dyDescent="0.25">
      <c r="A48" s="26" t="s">
        <v>51</v>
      </c>
      <c r="B48" s="19" t="s">
        <v>8</v>
      </c>
      <c r="C48" s="19">
        <v>6.7</v>
      </c>
      <c r="D48" s="19">
        <v>9.1</v>
      </c>
      <c r="E48" s="19">
        <v>15</v>
      </c>
      <c r="F48" s="19">
        <v>75</v>
      </c>
    </row>
    <row r="49" spans="1:6" x14ac:dyDescent="0.25">
      <c r="A49" s="26" t="s">
        <v>52</v>
      </c>
      <c r="B49" s="19" t="s">
        <v>8</v>
      </c>
      <c r="C49" s="19">
        <v>422.1</v>
      </c>
      <c r="D49" s="19">
        <v>670.7</v>
      </c>
      <c r="E49" s="19">
        <v>871</v>
      </c>
      <c r="F49" s="19">
        <v>1461</v>
      </c>
    </row>
    <row r="50" spans="1:6" x14ac:dyDescent="0.25">
      <c r="A50" s="26" t="s">
        <v>53</v>
      </c>
      <c r="B50" s="19" t="s">
        <v>8</v>
      </c>
      <c r="C50" s="19">
        <v>28.7</v>
      </c>
      <c r="D50" s="19">
        <v>309.60000000000002</v>
      </c>
      <c r="E50" s="19">
        <v>644</v>
      </c>
      <c r="F50" s="19">
        <v>913</v>
      </c>
    </row>
    <row r="51" spans="1:6" x14ac:dyDescent="0.25">
      <c r="A51" s="26" t="s">
        <v>54</v>
      </c>
      <c r="B51" s="19" t="s">
        <v>8</v>
      </c>
      <c r="C51" s="19">
        <v>216.2</v>
      </c>
      <c r="D51" s="19">
        <v>275.7</v>
      </c>
      <c r="E51" s="19">
        <v>363</v>
      </c>
      <c r="F51" s="19">
        <v>452</v>
      </c>
    </row>
    <row r="52" spans="1:6" x14ac:dyDescent="0.25">
      <c r="A52" s="26" t="s">
        <v>55</v>
      </c>
      <c r="B52" s="19" t="s">
        <v>8</v>
      </c>
      <c r="C52" s="19">
        <v>18.5</v>
      </c>
      <c r="D52" s="19">
        <v>25.9</v>
      </c>
      <c r="E52" s="19">
        <v>29</v>
      </c>
      <c r="F52" s="19">
        <v>34</v>
      </c>
    </row>
    <row r="53" spans="1:6" x14ac:dyDescent="0.25">
      <c r="A53" s="20" t="s">
        <v>56</v>
      </c>
      <c r="B53" s="20" t="s">
        <v>8</v>
      </c>
      <c r="C53" s="20">
        <v>711.5</v>
      </c>
      <c r="D53" s="20">
        <v>1441</v>
      </c>
      <c r="E53" s="20">
        <v>2083</v>
      </c>
      <c r="F53" s="20">
        <v>3326</v>
      </c>
    </row>
    <row r="54" spans="1:6" ht="16.5" thickBot="1" x14ac:dyDescent="0.3">
      <c r="A54" s="20" t="s">
        <v>57</v>
      </c>
      <c r="B54" s="20" t="s">
        <v>8</v>
      </c>
      <c r="C54" s="20">
        <v>828.1</v>
      </c>
      <c r="D54" s="20">
        <v>2145.5</v>
      </c>
      <c r="E54" s="20">
        <v>2950</v>
      </c>
      <c r="F54" s="20">
        <v>2950</v>
      </c>
    </row>
    <row r="55" spans="1:6" x14ac:dyDescent="0.25">
      <c r="A55" s="127" t="s">
        <v>58</v>
      </c>
      <c r="B55" s="127" t="s">
        <v>8</v>
      </c>
      <c r="C55" s="127">
        <v>17327</v>
      </c>
      <c r="D55" s="127">
        <v>21598.7</v>
      </c>
      <c r="E55" s="127">
        <v>23356</v>
      </c>
      <c r="F55" s="127">
        <v>35623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1F18-AEE0-492D-843A-A18047A26D63}">
  <sheetPr>
    <tabColor rgb="FFFFC000"/>
  </sheetPr>
  <dimension ref="A1:F34"/>
  <sheetViews>
    <sheetView showGridLines="0" workbookViewId="0">
      <pane xSplit="2" ySplit="4" topLeftCell="C12" activePane="bottomRight" state="frozen"/>
      <selection pane="topRight" activeCell="C1" sqref="C1"/>
      <selection pane="bottomLeft" activeCell="A5" sqref="A5"/>
      <selection pane="bottomRight" activeCell="B33" sqref="B33"/>
    </sheetView>
  </sheetViews>
  <sheetFormatPr defaultRowHeight="15.75" customHeight="1" x14ac:dyDescent="0.25"/>
  <cols>
    <col min="1" max="1" width="59.77734375" style="19" customWidth="1"/>
    <col min="2" max="2" width="6.33203125" style="19" customWidth="1"/>
    <col min="3" max="6" width="12.109375" style="19" customWidth="1"/>
    <col min="7" max="7" width="8.88671875" style="19"/>
    <col min="8" max="8" width="9.21875" style="19" bestFit="1" customWidth="1"/>
    <col min="9" max="16384" width="8.88671875" style="19"/>
  </cols>
  <sheetData>
    <row r="1" spans="1:6" ht="30.75" customHeight="1" x14ac:dyDescent="0.25">
      <c r="A1" s="125" t="s">
        <v>59</v>
      </c>
      <c r="B1" s="126"/>
      <c r="C1" s="126"/>
      <c r="D1" s="126"/>
      <c r="E1" s="126"/>
      <c r="F1" s="126"/>
    </row>
    <row r="2" spans="1:6" ht="15.75" customHeight="1" x14ac:dyDescent="0.25">
      <c r="A2" s="23" t="s">
        <v>60</v>
      </c>
      <c r="B2" s="23"/>
      <c r="C2" s="23"/>
      <c r="D2" s="23"/>
      <c r="E2" s="23"/>
      <c r="F2" s="23"/>
    </row>
    <row r="4" spans="1:6" ht="15.75" customHeight="1" x14ac:dyDescent="0.25">
      <c r="A4" s="128" t="s">
        <v>0</v>
      </c>
      <c r="B4" s="129" t="s">
        <v>8</v>
      </c>
      <c r="C4" s="129" t="s">
        <v>1</v>
      </c>
      <c r="D4" s="129" t="s">
        <v>9</v>
      </c>
      <c r="E4" s="129" t="s">
        <v>10</v>
      </c>
      <c r="F4" s="129" t="s">
        <v>11</v>
      </c>
    </row>
    <row r="5" spans="1:6" ht="15.75" customHeight="1" x14ac:dyDescent="0.25">
      <c r="A5" s="126" t="s">
        <v>61</v>
      </c>
      <c r="B5" s="126"/>
      <c r="C5" s="126"/>
      <c r="D5" s="126"/>
      <c r="E5" s="126"/>
      <c r="F5" s="126"/>
    </row>
    <row r="6" spans="1:6" ht="15.75" customHeight="1" x14ac:dyDescent="0.25">
      <c r="A6" s="26" t="s">
        <v>62</v>
      </c>
      <c r="B6" s="19" t="s">
        <v>8</v>
      </c>
      <c r="C6" s="19">
        <v>4192.3999999999996</v>
      </c>
      <c r="D6" s="19">
        <v>7079.4</v>
      </c>
      <c r="E6" s="19">
        <v>12114</v>
      </c>
      <c r="F6" s="19">
        <v>20243</v>
      </c>
    </row>
    <row r="7" spans="1:6" ht="15.75" customHeight="1" x14ac:dyDescent="0.25">
      <c r="A7" s="26" t="s">
        <v>63</v>
      </c>
      <c r="B7" s="19" t="s">
        <v>8</v>
      </c>
      <c r="C7" s="19">
        <v>494.9</v>
      </c>
      <c r="D7" s="19">
        <v>681.5</v>
      </c>
      <c r="E7" s="19">
        <v>847</v>
      </c>
      <c r="F7" s="19">
        <v>1077</v>
      </c>
    </row>
    <row r="8" spans="1:6" ht="15.75" customHeight="1" x14ac:dyDescent="0.25">
      <c r="A8" s="20" t="s">
        <v>64</v>
      </c>
      <c r="B8" s="20" t="s">
        <v>8</v>
      </c>
      <c r="C8" s="20">
        <v>4687.3</v>
      </c>
      <c r="D8" s="20">
        <v>7760.9</v>
      </c>
      <c r="E8" s="20">
        <v>12961</v>
      </c>
      <c r="F8" s="20">
        <v>21320</v>
      </c>
    </row>
    <row r="9" spans="1:6" ht="15.75" customHeight="1" x14ac:dyDescent="0.25">
      <c r="A9" s="126" t="s">
        <v>65</v>
      </c>
      <c r="B9" s="126"/>
      <c r="C9" s="126"/>
      <c r="D9" s="126"/>
      <c r="E9" s="126"/>
      <c r="F9" s="126"/>
    </row>
    <row r="10" spans="1:6" ht="15.75" customHeight="1" x14ac:dyDescent="0.25">
      <c r="A10" s="26" t="s">
        <v>66</v>
      </c>
      <c r="B10" s="19" t="s">
        <v>8</v>
      </c>
      <c r="C10" s="19">
        <v>552.4</v>
      </c>
      <c r="D10" s="19">
        <v>1438.2</v>
      </c>
      <c r="E10" s="19">
        <v>2887</v>
      </c>
      <c r="F10" s="19">
        <v>5653</v>
      </c>
    </row>
    <row r="11" spans="1:6" ht="15.75" customHeight="1" x14ac:dyDescent="0.25">
      <c r="A11" s="26" t="s">
        <v>67</v>
      </c>
      <c r="B11" s="19" t="s">
        <v>8</v>
      </c>
      <c r="C11" s="19">
        <v>-27.8</v>
      </c>
      <c r="D11" s="19">
        <v>-43</v>
      </c>
      <c r="E11" s="19">
        <v>-5</v>
      </c>
      <c r="F11" s="19">
        <v>-88</v>
      </c>
    </row>
    <row r="12" spans="1:6" ht="15.75" customHeight="1" x14ac:dyDescent="0.25">
      <c r="A12" s="26" t="s">
        <v>68</v>
      </c>
      <c r="B12" s="19" t="s">
        <v>8</v>
      </c>
      <c r="C12" s="19">
        <v>1633.1</v>
      </c>
      <c r="D12" s="19">
        <v>1465</v>
      </c>
      <c r="E12" s="19">
        <v>1659</v>
      </c>
      <c r="F12" s="19">
        <v>2558</v>
      </c>
    </row>
    <row r="13" spans="1:6" ht="15.75" customHeight="1" x14ac:dyDescent="0.25">
      <c r="A13" s="26" t="s">
        <v>69</v>
      </c>
      <c r="B13" s="19" t="s">
        <v>8</v>
      </c>
      <c r="C13" s="19">
        <v>12</v>
      </c>
      <c r="D13" s="19">
        <v>48.7</v>
      </c>
      <c r="E13" s="19">
        <v>72</v>
      </c>
      <c r="F13" s="19">
        <v>154</v>
      </c>
    </row>
    <row r="14" spans="1:6" ht="15.75" customHeight="1" x14ac:dyDescent="0.25">
      <c r="A14" s="26" t="s">
        <v>70</v>
      </c>
      <c r="B14" s="19" t="s">
        <v>8</v>
      </c>
      <c r="C14" s="19">
        <v>150.30000000000001</v>
      </c>
      <c r="D14" s="19">
        <v>436.9</v>
      </c>
      <c r="E14" s="19">
        <v>526</v>
      </c>
      <c r="F14" s="19">
        <v>863</v>
      </c>
    </row>
    <row r="15" spans="1:6" ht="15.75" customHeight="1" x14ac:dyDescent="0.25">
      <c r="A15" s="26" t="s">
        <v>71</v>
      </c>
      <c r="B15" s="19" t="s">
        <v>8</v>
      </c>
      <c r="C15" s="19">
        <v>3885.5</v>
      </c>
      <c r="D15" s="19">
        <v>5429.5</v>
      </c>
      <c r="E15" s="19">
        <v>7531</v>
      </c>
      <c r="F15" s="19">
        <v>11483</v>
      </c>
    </row>
    <row r="16" spans="1:6" ht="15.75" customHeight="1" x14ac:dyDescent="0.25">
      <c r="A16" s="20" t="s">
        <v>72</v>
      </c>
      <c r="B16" s="20" t="s">
        <v>8</v>
      </c>
      <c r="C16" s="20">
        <v>6205.5</v>
      </c>
      <c r="D16" s="20">
        <v>8775.2999999999993</v>
      </c>
      <c r="E16" s="20">
        <v>12670</v>
      </c>
      <c r="F16" s="20">
        <v>20623</v>
      </c>
    </row>
    <row r="17" spans="1:6" ht="15.75" customHeight="1" x14ac:dyDescent="0.25">
      <c r="A17" s="20" t="s">
        <v>73</v>
      </c>
      <c r="B17" s="20" t="s">
        <v>8</v>
      </c>
      <c r="C17" s="20">
        <v>-1518.2</v>
      </c>
      <c r="D17" s="20">
        <v>-1014.4</v>
      </c>
      <c r="E17" s="20">
        <v>291</v>
      </c>
      <c r="F17" s="20">
        <v>697</v>
      </c>
    </row>
    <row r="18" spans="1:6" ht="15.75" customHeight="1" x14ac:dyDescent="0.25">
      <c r="A18" s="26" t="s">
        <v>74</v>
      </c>
      <c r="B18" s="19" t="s">
        <v>8</v>
      </c>
      <c r="C18" s="19">
        <v>0.3</v>
      </c>
      <c r="D18" s="19">
        <v>-0.3</v>
      </c>
      <c r="E18" s="19">
        <v>0</v>
      </c>
      <c r="F18" s="19">
        <v>0</v>
      </c>
    </row>
    <row r="19" spans="1:6" ht="15.75" customHeight="1" x14ac:dyDescent="0.25">
      <c r="A19" s="20" t="s">
        <v>75</v>
      </c>
      <c r="B19" s="20" t="s">
        <v>8</v>
      </c>
      <c r="C19" s="20">
        <v>-1517.9</v>
      </c>
      <c r="D19" s="20">
        <v>-1014.7</v>
      </c>
      <c r="E19" s="20">
        <v>291</v>
      </c>
      <c r="F19" s="20">
        <v>697</v>
      </c>
    </row>
    <row r="20" spans="1:6" ht="15.75" customHeight="1" x14ac:dyDescent="0.25">
      <c r="A20" s="26" t="s">
        <v>76</v>
      </c>
      <c r="B20" s="19" t="s">
        <v>8</v>
      </c>
      <c r="C20" s="19">
        <v>297.39999999999998</v>
      </c>
      <c r="D20" s="19">
        <v>0.1</v>
      </c>
      <c r="E20" s="19">
        <v>0</v>
      </c>
      <c r="F20" s="19">
        <v>0</v>
      </c>
    </row>
    <row r="21" spans="1:6" ht="15.75" customHeight="1" x14ac:dyDescent="0.25">
      <c r="A21" s="20" t="s">
        <v>77</v>
      </c>
      <c r="B21" s="20" t="s">
        <v>8</v>
      </c>
      <c r="C21" s="20">
        <v>-1220.5</v>
      </c>
      <c r="D21" s="20">
        <v>-1014.6</v>
      </c>
      <c r="E21" s="20">
        <v>291</v>
      </c>
      <c r="F21" s="20">
        <v>697</v>
      </c>
    </row>
    <row r="22" spans="1:6" ht="15.75" customHeight="1" x14ac:dyDescent="0.25">
      <c r="A22" s="29" t="s">
        <v>78</v>
      </c>
      <c r="B22" s="29"/>
      <c r="C22" s="29"/>
      <c r="D22" s="29"/>
      <c r="E22" s="29"/>
      <c r="F22" s="29"/>
    </row>
    <row r="23" spans="1:6" ht="15.75" customHeight="1" x14ac:dyDescent="0.25">
      <c r="A23" s="26" t="s">
        <v>79</v>
      </c>
      <c r="B23" s="19" t="s">
        <v>8</v>
      </c>
      <c r="C23" s="19">
        <v>2</v>
      </c>
      <c r="D23" s="19">
        <v>0.4</v>
      </c>
      <c r="E23" s="19">
        <v>1</v>
      </c>
      <c r="F23" s="19">
        <v>231</v>
      </c>
    </row>
    <row r="24" spans="1:6" ht="15.75" customHeight="1" x14ac:dyDescent="0.25">
      <c r="A24" s="26" t="s">
        <v>80</v>
      </c>
      <c r="B24" s="19" t="s">
        <v>8</v>
      </c>
      <c r="C24" s="19">
        <v>0</v>
      </c>
      <c r="D24" s="19">
        <v>-44</v>
      </c>
      <c r="E24" s="19">
        <v>-61</v>
      </c>
      <c r="F24" s="19">
        <v>-61</v>
      </c>
    </row>
    <row r="25" spans="1:6" ht="15.75" customHeight="1" thickBot="1" x14ac:dyDescent="0.3">
      <c r="A25" s="20" t="s">
        <v>81</v>
      </c>
      <c r="B25" s="20" t="s">
        <v>8</v>
      </c>
      <c r="C25" s="20">
        <v>2</v>
      </c>
      <c r="D25" s="20">
        <v>-43.6</v>
      </c>
      <c r="E25" s="20">
        <v>-60</v>
      </c>
      <c r="F25" s="20">
        <v>170</v>
      </c>
    </row>
    <row r="26" spans="1:6" ht="15.75" customHeight="1" x14ac:dyDescent="0.25">
      <c r="A26" s="130" t="s">
        <v>82</v>
      </c>
      <c r="B26" s="130" t="s">
        <v>8</v>
      </c>
      <c r="C26" s="130">
        <v>-1222.5</v>
      </c>
      <c r="D26" s="130">
        <v>-971</v>
      </c>
      <c r="E26" s="130">
        <v>351</v>
      </c>
      <c r="F26" s="130">
        <v>527</v>
      </c>
    </row>
    <row r="27" spans="1:6" ht="15.75" customHeight="1" thickBot="1" x14ac:dyDescent="0.3">
      <c r="A27" s="19" t="s">
        <v>83</v>
      </c>
      <c r="B27" s="19" t="s">
        <v>8</v>
      </c>
      <c r="C27" s="19">
        <v>2.2000000000000002</v>
      </c>
      <c r="D27" s="19">
        <v>-98.5</v>
      </c>
      <c r="E27" s="19">
        <v>55</v>
      </c>
      <c r="F27" s="19">
        <v>128</v>
      </c>
    </row>
    <row r="28" spans="1:6" ht="15.75" customHeight="1" x14ac:dyDescent="0.25">
      <c r="A28" s="130" t="s">
        <v>84</v>
      </c>
      <c r="B28" s="130" t="s">
        <v>8</v>
      </c>
      <c r="C28" s="130">
        <v>-1220.3</v>
      </c>
      <c r="D28" s="130">
        <v>-1069.5</v>
      </c>
      <c r="E28" s="130">
        <v>406</v>
      </c>
      <c r="F28" s="130">
        <v>655</v>
      </c>
    </row>
    <row r="29" spans="1:6" ht="15.75" customHeight="1" x14ac:dyDescent="0.25">
      <c r="A29" s="29" t="s">
        <v>85</v>
      </c>
      <c r="B29" s="29"/>
      <c r="C29" s="29"/>
      <c r="D29" s="29"/>
      <c r="E29" s="29"/>
      <c r="F29" s="29"/>
    </row>
    <row r="30" spans="1:6" ht="15.75" customHeight="1" x14ac:dyDescent="0.25">
      <c r="A30" s="26" t="s">
        <v>86</v>
      </c>
      <c r="B30" s="19" t="s">
        <v>8</v>
      </c>
      <c r="C30" s="19">
        <v>-1208.7</v>
      </c>
      <c r="D30" s="19">
        <v>-971.3</v>
      </c>
      <c r="E30" s="19">
        <v>351</v>
      </c>
      <c r="F30" s="19">
        <v>527</v>
      </c>
    </row>
    <row r="31" spans="1:6" ht="15.75" customHeight="1" x14ac:dyDescent="0.25">
      <c r="A31" s="26" t="s">
        <v>87</v>
      </c>
      <c r="B31" s="19" t="s">
        <v>8</v>
      </c>
      <c r="C31" s="19">
        <v>-13.8</v>
      </c>
      <c r="D31" s="19">
        <v>0.3</v>
      </c>
      <c r="E31" s="19">
        <v>0</v>
      </c>
      <c r="F31" s="19">
        <v>0</v>
      </c>
    </row>
    <row r="32" spans="1:6" ht="15.75" customHeight="1" x14ac:dyDescent="0.25">
      <c r="A32" s="29" t="s">
        <v>88</v>
      </c>
      <c r="B32" s="29"/>
      <c r="C32" s="29"/>
      <c r="D32" s="29"/>
      <c r="E32" s="29"/>
      <c r="F32" s="29"/>
    </row>
    <row r="33" spans="1:6" ht="15.75" customHeight="1" x14ac:dyDescent="0.25">
      <c r="A33" s="26" t="s">
        <v>89</v>
      </c>
      <c r="B33" s="19" t="s">
        <v>90</v>
      </c>
      <c r="C33" s="19">
        <v>-1.67</v>
      </c>
      <c r="D33" s="19">
        <v>-1.2</v>
      </c>
      <c r="E33" s="19">
        <v>0.41</v>
      </c>
      <c r="F33" s="19">
        <v>0.6</v>
      </c>
    </row>
    <row r="34" spans="1:6" ht="15.75" customHeight="1" x14ac:dyDescent="0.25">
      <c r="A34" s="26" t="s">
        <v>91</v>
      </c>
      <c r="B34" s="19" t="s">
        <v>90</v>
      </c>
      <c r="C34" s="19">
        <v>-1.67</v>
      </c>
      <c r="D34" s="19">
        <v>-1.2</v>
      </c>
      <c r="E34" s="19">
        <v>0.4</v>
      </c>
      <c r="F34" s="19">
        <v>0.57999999999999996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9318-04D0-410F-8423-0968C42A0DD5}">
  <sheetPr>
    <tabColor rgb="FFFFC000"/>
  </sheetPr>
  <dimension ref="A1:F39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9" activeCellId="4" sqref="A1:F5 A12:F13 A24:F24 A34:F34 A39:F39"/>
    </sheetView>
  </sheetViews>
  <sheetFormatPr defaultRowHeight="15.75" customHeight="1" x14ac:dyDescent="0.25"/>
  <cols>
    <col min="1" max="1" width="59.77734375" style="19" customWidth="1"/>
    <col min="2" max="2" width="6.33203125" style="19" customWidth="1"/>
    <col min="3" max="6" width="12.109375" style="19" customWidth="1"/>
    <col min="7" max="16384" width="8.88671875" style="19"/>
  </cols>
  <sheetData>
    <row r="1" spans="1:6" ht="29.25" customHeight="1" x14ac:dyDescent="0.25">
      <c r="A1" s="125" t="s">
        <v>92</v>
      </c>
      <c r="B1" s="126"/>
      <c r="C1" s="126"/>
      <c r="D1" s="126"/>
      <c r="E1" s="126"/>
      <c r="F1" s="126"/>
    </row>
    <row r="2" spans="1:6" ht="15.75" customHeight="1" x14ac:dyDescent="0.25">
      <c r="A2" s="23" t="s">
        <v>60</v>
      </c>
      <c r="B2" s="23"/>
      <c r="C2" s="23"/>
      <c r="D2" s="23"/>
      <c r="E2" s="23"/>
      <c r="F2" s="23"/>
    </row>
    <row r="4" spans="1:6" ht="15.75" customHeight="1" x14ac:dyDescent="0.25">
      <c r="A4" s="128" t="s">
        <v>0</v>
      </c>
      <c r="B4" s="129" t="s">
        <v>8</v>
      </c>
      <c r="C4" s="129" t="s">
        <v>1</v>
      </c>
      <c r="D4" s="129" t="s">
        <v>9</v>
      </c>
      <c r="E4" s="129" t="s">
        <v>10</v>
      </c>
      <c r="F4" s="129" t="s">
        <v>11</v>
      </c>
    </row>
    <row r="5" spans="1:6" ht="15.75" customHeight="1" x14ac:dyDescent="0.25">
      <c r="A5" s="126" t="s">
        <v>93</v>
      </c>
      <c r="B5" s="126"/>
      <c r="C5" s="126"/>
      <c r="D5" s="126"/>
      <c r="E5" s="126"/>
      <c r="F5" s="126"/>
    </row>
    <row r="6" spans="1:6" ht="15.75" customHeight="1" x14ac:dyDescent="0.25">
      <c r="A6" s="26" t="s">
        <v>94</v>
      </c>
      <c r="B6" s="19" t="s">
        <v>8</v>
      </c>
      <c r="C6" s="19">
        <v>-1220.5</v>
      </c>
      <c r="D6" s="19">
        <v>-1014.6</v>
      </c>
      <c r="E6" s="19">
        <v>291</v>
      </c>
      <c r="F6" s="19">
        <v>697</v>
      </c>
    </row>
    <row r="7" spans="1:6" ht="15.75" customHeight="1" x14ac:dyDescent="0.25">
      <c r="A7" s="26" t="s">
        <v>95</v>
      </c>
      <c r="B7" s="19" t="s">
        <v>8</v>
      </c>
      <c r="C7" s="19">
        <v>298.39999999999998</v>
      </c>
      <c r="D7" s="19">
        <v>377.3</v>
      </c>
      <c r="E7" s="19">
        <v>342</v>
      </c>
      <c r="F7" s="19">
        <v>822</v>
      </c>
    </row>
    <row r="8" spans="1:6" ht="15.75" customHeight="1" x14ac:dyDescent="0.25">
      <c r="A8" s="20" t="s">
        <v>96</v>
      </c>
      <c r="B8" s="20" t="s">
        <v>8</v>
      </c>
      <c r="C8" s="20">
        <v>-922.1</v>
      </c>
      <c r="D8" s="20">
        <v>-637.29999999999995</v>
      </c>
      <c r="E8" s="20">
        <v>633</v>
      </c>
      <c r="F8" s="20">
        <v>1519</v>
      </c>
    </row>
    <row r="9" spans="1:6" ht="15.75" customHeight="1" x14ac:dyDescent="0.25">
      <c r="A9" s="26" t="s">
        <v>97</v>
      </c>
      <c r="B9" s="19" t="s">
        <v>8</v>
      </c>
      <c r="C9" s="19">
        <v>248.3</v>
      </c>
      <c r="D9" s="19">
        <v>-175.9</v>
      </c>
      <c r="E9" s="19">
        <v>118</v>
      </c>
      <c r="F9" s="19">
        <v>-1093</v>
      </c>
    </row>
    <row r="10" spans="1:6" ht="15.75" customHeight="1" x14ac:dyDescent="0.25">
      <c r="A10" s="20" t="s">
        <v>98</v>
      </c>
      <c r="B10" s="20" t="s">
        <v>8</v>
      </c>
      <c r="C10" s="20">
        <v>-673.8</v>
      </c>
      <c r="D10" s="20">
        <v>-813.2</v>
      </c>
      <c r="E10" s="20">
        <v>751</v>
      </c>
      <c r="F10" s="20">
        <v>426</v>
      </c>
    </row>
    <row r="11" spans="1:6" ht="15.75" customHeight="1" thickBot="1" x14ac:dyDescent="0.3">
      <c r="A11" s="26" t="s">
        <v>99</v>
      </c>
      <c r="B11" s="19" t="s">
        <v>8</v>
      </c>
      <c r="C11" s="19">
        <v>-19.2</v>
      </c>
      <c r="D11" s="19">
        <v>-30.8</v>
      </c>
      <c r="E11" s="19">
        <v>-105</v>
      </c>
      <c r="F11" s="19">
        <v>-118</v>
      </c>
    </row>
    <row r="12" spans="1:6" ht="15.75" customHeight="1" x14ac:dyDescent="0.25">
      <c r="A12" s="127" t="s">
        <v>100</v>
      </c>
      <c r="B12" s="127" t="s">
        <v>8</v>
      </c>
      <c r="C12" s="127">
        <v>-693</v>
      </c>
      <c r="D12" s="127">
        <v>-844</v>
      </c>
      <c r="E12" s="127">
        <v>646</v>
      </c>
      <c r="F12" s="127">
        <v>308</v>
      </c>
    </row>
    <row r="13" spans="1:6" ht="15.75" customHeight="1" x14ac:dyDescent="0.25">
      <c r="A13" s="126" t="s">
        <v>101</v>
      </c>
      <c r="B13" s="126"/>
      <c r="C13" s="126"/>
      <c r="D13" s="126"/>
      <c r="E13" s="126"/>
      <c r="F13" s="126"/>
    </row>
    <row r="14" spans="1:6" ht="15.75" customHeight="1" x14ac:dyDescent="0.25">
      <c r="A14" s="26" t="s">
        <v>102</v>
      </c>
      <c r="B14" s="19" t="s">
        <v>8</v>
      </c>
      <c r="C14" s="19">
        <v>-59</v>
      </c>
      <c r="D14" s="19">
        <v>-103</v>
      </c>
      <c r="E14" s="19">
        <v>-215</v>
      </c>
      <c r="F14" s="19">
        <v>-936</v>
      </c>
    </row>
    <row r="15" spans="1:6" ht="15.75" customHeight="1" x14ac:dyDescent="0.25">
      <c r="A15" s="26" t="s">
        <v>103</v>
      </c>
      <c r="B15" s="19" t="s">
        <v>8</v>
      </c>
      <c r="C15" s="19">
        <v>1.8</v>
      </c>
      <c r="D15" s="19">
        <v>1.6</v>
      </c>
      <c r="E15" s="19">
        <v>13</v>
      </c>
      <c r="F15" s="19">
        <v>5</v>
      </c>
    </row>
    <row r="16" spans="1:6" ht="15.75" customHeight="1" x14ac:dyDescent="0.25">
      <c r="A16" s="26" t="s">
        <v>104</v>
      </c>
      <c r="B16" s="19" t="s">
        <v>8</v>
      </c>
      <c r="C16" s="19">
        <v>-5530.8</v>
      </c>
      <c r="D16" s="19">
        <v>3288.6</v>
      </c>
      <c r="E16" s="19">
        <v>3994</v>
      </c>
      <c r="F16" s="19">
        <v>-4755</v>
      </c>
    </row>
    <row r="17" spans="1:6" ht="15.75" customHeight="1" x14ac:dyDescent="0.25">
      <c r="A17" s="26" t="s">
        <v>105</v>
      </c>
      <c r="B17" s="19" t="s">
        <v>8</v>
      </c>
      <c r="C17" s="19">
        <v>632.1</v>
      </c>
      <c r="D17" s="19">
        <v>-1794</v>
      </c>
      <c r="E17" s="19">
        <v>2499</v>
      </c>
      <c r="F17" s="19">
        <v>-588</v>
      </c>
    </row>
    <row r="18" spans="1:6" ht="15.75" customHeight="1" x14ac:dyDescent="0.25">
      <c r="A18" s="26" t="s">
        <v>106</v>
      </c>
      <c r="B18" s="19" t="s">
        <v>8</v>
      </c>
      <c r="C18" s="19">
        <v>-468.1</v>
      </c>
      <c r="D18" s="19">
        <v>-565.20000000000005</v>
      </c>
      <c r="E18" s="19">
        <v>-1485</v>
      </c>
      <c r="F18" s="19">
        <v>-583</v>
      </c>
    </row>
    <row r="19" spans="1:6" ht="15.75" customHeight="1" x14ac:dyDescent="0.25">
      <c r="A19" s="26" t="s">
        <v>107</v>
      </c>
      <c r="B19" s="19" t="s">
        <v>8</v>
      </c>
      <c r="C19" s="19">
        <v>0</v>
      </c>
      <c r="D19" s="19">
        <v>-50</v>
      </c>
      <c r="E19" s="19">
        <v>-5772</v>
      </c>
      <c r="F19" s="19">
        <v>50</v>
      </c>
    </row>
    <row r="20" spans="1:6" ht="15.75" customHeight="1" x14ac:dyDescent="0.25">
      <c r="A20" s="26" t="s">
        <v>154</v>
      </c>
      <c r="B20" s="19" t="s">
        <v>8</v>
      </c>
      <c r="C20" s="19">
        <v>-2627.8</v>
      </c>
      <c r="D20" s="19">
        <v>-60.7</v>
      </c>
      <c r="E20" s="19">
        <v>1</v>
      </c>
      <c r="F20" s="19">
        <v>-2005</v>
      </c>
    </row>
    <row r="21" spans="1:6" ht="15.75" customHeight="1" x14ac:dyDescent="0.25">
      <c r="A21" s="26" t="s">
        <v>108</v>
      </c>
      <c r="B21" s="19" t="s">
        <v>8</v>
      </c>
      <c r="C21" s="19">
        <v>-375</v>
      </c>
      <c r="D21" s="19">
        <v>-750.4</v>
      </c>
      <c r="E21" s="19">
        <v>0</v>
      </c>
      <c r="F21" s="19">
        <v>0</v>
      </c>
    </row>
    <row r="22" spans="1:6" ht="15.75" customHeight="1" x14ac:dyDescent="0.25">
      <c r="A22" s="26" t="s">
        <v>109</v>
      </c>
      <c r="B22" s="19" t="s">
        <v>8</v>
      </c>
      <c r="C22" s="19">
        <v>112.6</v>
      </c>
      <c r="D22" s="19">
        <v>490.4</v>
      </c>
      <c r="E22" s="19">
        <v>618</v>
      </c>
      <c r="F22" s="19">
        <v>819</v>
      </c>
    </row>
    <row r="23" spans="1:6" ht="15.75" customHeight="1" x14ac:dyDescent="0.25">
      <c r="A23" s="20" t="s">
        <v>110</v>
      </c>
      <c r="B23" s="20" t="s">
        <v>8</v>
      </c>
      <c r="C23" s="20">
        <v>-7937.8</v>
      </c>
      <c r="D23" s="20">
        <v>457.3</v>
      </c>
      <c r="E23" s="20">
        <v>-347</v>
      </c>
      <c r="F23" s="20">
        <v>-7993</v>
      </c>
    </row>
    <row r="24" spans="1:6" ht="15.75" customHeight="1" x14ac:dyDescent="0.25">
      <c r="A24" s="126" t="s">
        <v>111</v>
      </c>
      <c r="B24" s="126"/>
      <c r="C24" s="126"/>
      <c r="D24" s="126"/>
      <c r="E24" s="126"/>
      <c r="F24" s="126"/>
    </row>
    <row r="25" spans="1:6" ht="15.75" customHeight="1" x14ac:dyDescent="0.25">
      <c r="A25" s="26" t="s">
        <v>112</v>
      </c>
      <c r="B25" s="19" t="s">
        <v>8</v>
      </c>
      <c r="C25" s="19">
        <v>9000</v>
      </c>
      <c r="D25" s="19">
        <v>4</v>
      </c>
      <c r="E25" s="19">
        <v>23</v>
      </c>
      <c r="F25" s="19">
        <v>8501</v>
      </c>
    </row>
    <row r="26" spans="1:6" ht="15.75" customHeight="1" x14ac:dyDescent="0.25">
      <c r="A26" s="26" t="s">
        <v>113</v>
      </c>
      <c r="B26" s="19" t="s">
        <v>8</v>
      </c>
      <c r="C26" s="19">
        <v>-225.7</v>
      </c>
      <c r="D26" s="19">
        <v>0</v>
      </c>
      <c r="E26" s="19">
        <v>-1</v>
      </c>
      <c r="F26" s="19">
        <v>-54</v>
      </c>
    </row>
    <row r="27" spans="1:6" ht="15.75" customHeight="1" x14ac:dyDescent="0.25">
      <c r="A27" s="26" t="s">
        <v>114</v>
      </c>
      <c r="B27" s="19" t="s">
        <v>8</v>
      </c>
      <c r="C27" s="19">
        <v>-1.3</v>
      </c>
      <c r="D27" s="19">
        <v>-23.1</v>
      </c>
      <c r="E27" s="19">
        <v>-40</v>
      </c>
      <c r="F27" s="19">
        <v>0</v>
      </c>
    </row>
    <row r="28" spans="1:6" ht="15.75" customHeight="1" x14ac:dyDescent="0.25">
      <c r="A28" s="26" t="s">
        <v>115</v>
      </c>
      <c r="B28" s="19" t="s">
        <v>8</v>
      </c>
      <c r="C28" s="19">
        <v>-0.6</v>
      </c>
      <c r="D28" s="19">
        <v>-0.2</v>
      </c>
      <c r="E28" s="19">
        <v>0</v>
      </c>
      <c r="F28" s="19">
        <v>0</v>
      </c>
    </row>
    <row r="29" spans="1:6" ht="15.75" customHeight="1" x14ac:dyDescent="0.25">
      <c r="A29" s="26" t="s">
        <v>116</v>
      </c>
      <c r="B29" s="19" t="s">
        <v>8</v>
      </c>
      <c r="C29" s="19">
        <v>7.9</v>
      </c>
      <c r="D29" s="19">
        <v>6.7</v>
      </c>
      <c r="E29" s="19">
        <v>9</v>
      </c>
      <c r="F29" s="19">
        <v>4</v>
      </c>
    </row>
    <row r="30" spans="1:6" ht="15.75" customHeight="1" x14ac:dyDescent="0.25">
      <c r="A30" s="26" t="s">
        <v>117</v>
      </c>
      <c r="B30" s="19" t="s">
        <v>8</v>
      </c>
      <c r="C30" s="19">
        <v>-20.3</v>
      </c>
      <c r="D30" s="19">
        <v>-65.3</v>
      </c>
      <c r="E30" s="19">
        <v>-129</v>
      </c>
      <c r="F30" s="19">
        <v>-258</v>
      </c>
    </row>
    <row r="31" spans="1:6" ht="15.75" customHeight="1" x14ac:dyDescent="0.25">
      <c r="A31" s="26" t="s">
        <v>118</v>
      </c>
      <c r="B31" s="19" t="s">
        <v>8</v>
      </c>
      <c r="C31" s="19">
        <v>-9.5</v>
      </c>
      <c r="D31" s="19">
        <v>-40.200000000000003</v>
      </c>
      <c r="E31" s="19">
        <v>-67</v>
      </c>
      <c r="F31" s="19">
        <v>-147</v>
      </c>
    </row>
    <row r="32" spans="1:6" ht="15.75" customHeight="1" x14ac:dyDescent="0.25">
      <c r="A32" s="26" t="s">
        <v>119</v>
      </c>
      <c r="B32" s="19" t="s">
        <v>8</v>
      </c>
      <c r="C32" s="19">
        <v>-0.7</v>
      </c>
      <c r="D32" s="19">
        <v>-9.3000000000000007</v>
      </c>
      <c r="E32" s="19">
        <v>-2</v>
      </c>
      <c r="F32" s="19">
        <v>-4</v>
      </c>
    </row>
    <row r="33" spans="1:6" ht="15.75" customHeight="1" x14ac:dyDescent="0.25">
      <c r="A33" s="20" t="s">
        <v>120</v>
      </c>
      <c r="B33" s="20" t="s">
        <v>8</v>
      </c>
      <c r="C33" s="20">
        <v>8749.7999999999993</v>
      </c>
      <c r="D33" s="20">
        <v>-127.4</v>
      </c>
      <c r="E33" s="20">
        <v>-207</v>
      </c>
      <c r="F33" s="20">
        <v>8042</v>
      </c>
    </row>
    <row r="34" spans="1:6" ht="15.75" customHeight="1" x14ac:dyDescent="0.25">
      <c r="A34" s="126" t="s">
        <v>121</v>
      </c>
      <c r="B34" s="126"/>
      <c r="C34" s="126"/>
      <c r="D34" s="126"/>
      <c r="E34" s="126"/>
      <c r="F34" s="126"/>
    </row>
    <row r="35" spans="1:6" ht="15.75" customHeight="1" x14ac:dyDescent="0.25">
      <c r="A35" s="30" t="s">
        <v>122</v>
      </c>
      <c r="B35" s="20" t="s">
        <v>8</v>
      </c>
      <c r="C35" s="20">
        <v>119</v>
      </c>
      <c r="D35" s="20">
        <v>-514.1</v>
      </c>
      <c r="E35" s="20">
        <v>92</v>
      </c>
      <c r="F35" s="20">
        <v>357</v>
      </c>
    </row>
    <row r="36" spans="1:6" ht="15.75" customHeight="1" x14ac:dyDescent="0.25">
      <c r="A36" s="26" t="s">
        <v>123</v>
      </c>
      <c r="B36" s="19" t="s">
        <v>8</v>
      </c>
      <c r="C36" s="19">
        <v>-5.5</v>
      </c>
      <c r="D36" s="19">
        <v>339</v>
      </c>
      <c r="E36" s="19">
        <v>0</v>
      </c>
      <c r="F36" s="19">
        <v>0</v>
      </c>
    </row>
    <row r="37" spans="1:6" ht="15.75" customHeight="1" x14ac:dyDescent="0.25">
      <c r="A37" s="26" t="s">
        <v>124</v>
      </c>
      <c r="B37" s="19" t="s">
        <v>8</v>
      </c>
      <c r="C37" s="19">
        <v>-27.7</v>
      </c>
      <c r="D37" s="19">
        <v>0.9</v>
      </c>
      <c r="E37" s="19">
        <v>-1</v>
      </c>
      <c r="F37" s="19">
        <v>0</v>
      </c>
    </row>
    <row r="38" spans="1:6" ht="15.75" customHeight="1" thickBot="1" x14ac:dyDescent="0.3">
      <c r="A38" s="26" t="s">
        <v>125</v>
      </c>
      <c r="B38" s="19" t="s">
        <v>8</v>
      </c>
      <c r="C38" s="19">
        <v>306.5</v>
      </c>
      <c r="D38" s="19">
        <v>392.3</v>
      </c>
      <c r="E38" s="19">
        <v>218</v>
      </c>
      <c r="F38" s="19">
        <v>309</v>
      </c>
    </row>
    <row r="39" spans="1:6" ht="15.75" customHeight="1" x14ac:dyDescent="0.25">
      <c r="A39" s="127" t="s">
        <v>126</v>
      </c>
      <c r="B39" s="127" t="s">
        <v>8</v>
      </c>
      <c r="C39" s="127">
        <v>392.3</v>
      </c>
      <c r="D39" s="127">
        <v>218.1</v>
      </c>
      <c r="E39" s="127">
        <v>309</v>
      </c>
      <c r="F39" s="127">
        <v>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9BCA-3912-4023-8C05-E847F853325D}">
  <sheetPr>
    <tabColor rgb="FFFFFF00"/>
  </sheetPr>
  <dimension ref="A1:F31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6" sqref="D16"/>
    </sheetView>
  </sheetViews>
  <sheetFormatPr defaultRowHeight="15.75" customHeight="1" x14ac:dyDescent="0.25"/>
  <cols>
    <col min="1" max="1" width="59.77734375" style="19" customWidth="1"/>
    <col min="2" max="2" width="6.33203125" style="19" customWidth="1"/>
    <col min="3" max="6" width="12.109375" style="19" customWidth="1"/>
    <col min="7" max="16384" width="8.88671875" style="19"/>
  </cols>
  <sheetData>
    <row r="1" spans="1:6" ht="25.5" customHeight="1" x14ac:dyDescent="0.25">
      <c r="A1" s="125" t="s">
        <v>127</v>
      </c>
      <c r="B1" s="126"/>
      <c r="C1" s="126"/>
      <c r="D1" s="126"/>
      <c r="E1" s="126"/>
      <c r="F1" s="126"/>
    </row>
    <row r="2" spans="1:6" ht="15.75" customHeight="1" x14ac:dyDescent="0.25">
      <c r="A2" s="23" t="s">
        <v>128</v>
      </c>
      <c r="B2" s="23"/>
      <c r="C2" s="23"/>
      <c r="D2" s="23"/>
      <c r="E2" s="23"/>
      <c r="F2" s="23"/>
    </row>
    <row r="4" spans="1:6" ht="15.75" customHeight="1" x14ac:dyDescent="0.25">
      <c r="A4" s="128" t="s">
        <v>0</v>
      </c>
      <c r="B4" s="129" t="s">
        <v>8</v>
      </c>
      <c r="C4" s="129" t="s">
        <v>1</v>
      </c>
      <c r="D4" s="129" t="s">
        <v>9</v>
      </c>
      <c r="E4" s="129" t="s">
        <v>10</v>
      </c>
      <c r="F4" s="129" t="s">
        <v>11</v>
      </c>
    </row>
    <row r="5" spans="1:6" ht="15.75" customHeight="1" x14ac:dyDescent="0.25">
      <c r="A5" s="126" t="s">
        <v>129</v>
      </c>
      <c r="B5" s="126"/>
      <c r="C5" s="126"/>
      <c r="D5" s="126"/>
      <c r="E5" s="126"/>
      <c r="F5" s="126"/>
    </row>
    <row r="6" spans="1:6" ht="15.75" customHeight="1" x14ac:dyDescent="0.25">
      <c r="A6" s="26" t="s">
        <v>130</v>
      </c>
      <c r="B6" s="19" t="s">
        <v>8</v>
      </c>
      <c r="C6" s="19">
        <v>787.2</v>
      </c>
      <c r="D6" s="19">
        <v>855.4</v>
      </c>
      <c r="E6" s="19">
        <v>882</v>
      </c>
      <c r="F6" s="19">
        <v>965</v>
      </c>
    </row>
    <row r="7" spans="1:6" ht="15.75" customHeight="1" x14ac:dyDescent="0.25">
      <c r="A7" s="26" t="s">
        <v>131</v>
      </c>
      <c r="B7" s="19" t="s">
        <v>8</v>
      </c>
      <c r="C7" s="19">
        <v>-22.9</v>
      </c>
      <c r="D7" s="19">
        <v>-19</v>
      </c>
      <c r="E7" s="19">
        <v>-14</v>
      </c>
      <c r="F7" s="19">
        <v>-58</v>
      </c>
    </row>
    <row r="8" spans="1:6" ht="15.75" customHeight="1" x14ac:dyDescent="0.25">
      <c r="A8" s="20" t="s">
        <v>132</v>
      </c>
      <c r="B8" s="20" t="s">
        <v>8</v>
      </c>
      <c r="C8" s="20">
        <v>764.3</v>
      </c>
      <c r="D8" s="20">
        <v>836.4</v>
      </c>
      <c r="E8" s="20">
        <v>868</v>
      </c>
      <c r="F8" s="20">
        <v>907</v>
      </c>
    </row>
    <row r="9" spans="1:6" ht="15.75" customHeight="1" x14ac:dyDescent="0.25">
      <c r="A9" s="126" t="s">
        <v>133</v>
      </c>
      <c r="B9" s="126"/>
      <c r="C9" s="126"/>
      <c r="D9" s="126"/>
      <c r="E9" s="126"/>
      <c r="F9" s="126"/>
    </row>
    <row r="10" spans="1:6" ht="15.75" customHeight="1" x14ac:dyDescent="0.25">
      <c r="A10" s="26" t="s">
        <v>134</v>
      </c>
      <c r="B10" s="19" t="s">
        <v>8</v>
      </c>
      <c r="C10" s="19">
        <v>2.6</v>
      </c>
      <c r="D10" s="19">
        <v>2.6</v>
      </c>
      <c r="E10" s="19">
        <v>3</v>
      </c>
      <c r="F10" s="19">
        <v>3</v>
      </c>
    </row>
    <row r="11" spans="1:6" ht="15.75" customHeight="1" x14ac:dyDescent="0.25">
      <c r="A11" s="26" t="s">
        <v>135</v>
      </c>
      <c r="B11" s="19" t="s">
        <v>8</v>
      </c>
      <c r="C11" s="19">
        <v>1125.3</v>
      </c>
      <c r="D11" s="19">
        <v>1293.5999999999999</v>
      </c>
      <c r="E11" s="19">
        <v>683</v>
      </c>
      <c r="F11" s="19">
        <v>1253</v>
      </c>
    </row>
    <row r="12" spans="1:6" ht="15.75" customHeight="1" x14ac:dyDescent="0.25">
      <c r="A12" s="26" t="s">
        <v>136</v>
      </c>
      <c r="B12" s="19" t="s">
        <v>8</v>
      </c>
      <c r="C12" s="19">
        <v>21291.9</v>
      </c>
      <c r="D12" s="19">
        <v>24712.9</v>
      </c>
      <c r="E12" s="19">
        <v>24709</v>
      </c>
      <c r="F12" s="19">
        <v>33116</v>
      </c>
    </row>
    <row r="13" spans="1:6" ht="15.75" customHeight="1" x14ac:dyDescent="0.25">
      <c r="A13" s="26" t="s">
        <v>137</v>
      </c>
      <c r="B13" s="19" t="s">
        <v>8</v>
      </c>
      <c r="C13" s="19">
        <v>-6728.6</v>
      </c>
      <c r="D13" s="19">
        <v>-7508.9</v>
      </c>
      <c r="E13" s="19">
        <v>-6024</v>
      </c>
      <c r="F13" s="19">
        <v>-5265</v>
      </c>
    </row>
    <row r="14" spans="1:6" ht="15.75" customHeight="1" x14ac:dyDescent="0.25">
      <c r="A14" s="26" t="s">
        <v>138</v>
      </c>
      <c r="B14" s="19" t="s">
        <v>8</v>
      </c>
      <c r="C14" s="19">
        <v>22.9</v>
      </c>
      <c r="D14" s="19">
        <v>19</v>
      </c>
      <c r="E14" s="19">
        <v>14</v>
      </c>
      <c r="F14" s="19">
        <v>15</v>
      </c>
    </row>
    <row r="15" spans="1:6" ht="15.75" customHeight="1" x14ac:dyDescent="0.25">
      <c r="A15" s="26" t="s">
        <v>139</v>
      </c>
      <c r="B15" s="19" t="s">
        <v>8</v>
      </c>
      <c r="C15" s="19">
        <v>9.6</v>
      </c>
      <c r="D15" s="19">
        <v>73.599999999999994</v>
      </c>
      <c r="E15" s="19">
        <v>134</v>
      </c>
      <c r="F15" s="19">
        <v>181</v>
      </c>
    </row>
    <row r="16" spans="1:6" ht="15.75" customHeight="1" x14ac:dyDescent="0.25">
      <c r="A16" s="26" t="s">
        <v>140</v>
      </c>
      <c r="B16" s="19" t="s">
        <v>8</v>
      </c>
      <c r="C16" s="19">
        <v>0</v>
      </c>
      <c r="D16" s="19">
        <v>0.1</v>
      </c>
      <c r="E16" s="19">
        <v>-8</v>
      </c>
      <c r="F16" s="19">
        <v>81</v>
      </c>
    </row>
    <row r="17" spans="1:6" ht="15.75" customHeight="1" x14ac:dyDescent="0.25">
      <c r="A17" s="26" t="s">
        <v>141</v>
      </c>
      <c r="B17" s="19" t="s">
        <v>8</v>
      </c>
      <c r="C17" s="19">
        <v>17.5</v>
      </c>
      <c r="D17" s="19">
        <v>30.5</v>
      </c>
      <c r="E17" s="19">
        <v>37</v>
      </c>
      <c r="F17" s="19">
        <v>39</v>
      </c>
    </row>
    <row r="18" spans="1:6" ht="15.75" customHeight="1" x14ac:dyDescent="0.25">
      <c r="A18" s="26" t="s">
        <v>142</v>
      </c>
      <c r="B18" s="19" t="s">
        <v>8</v>
      </c>
      <c r="C18" s="19">
        <v>0</v>
      </c>
      <c r="D18" s="19">
        <v>0</v>
      </c>
      <c r="E18" s="19">
        <v>-3</v>
      </c>
      <c r="F18" s="19">
        <v>-13</v>
      </c>
    </row>
    <row r="19" spans="1:6" ht="15.75" customHeight="1" x14ac:dyDescent="0.25">
      <c r="A19" s="20" t="s">
        <v>143</v>
      </c>
      <c r="B19" s="20" t="s">
        <v>8</v>
      </c>
      <c r="C19" s="20">
        <v>15741.2</v>
      </c>
      <c r="D19" s="20">
        <v>18623.400000000001</v>
      </c>
      <c r="E19" s="20">
        <v>19545</v>
      </c>
      <c r="F19" s="20">
        <v>29410</v>
      </c>
    </row>
    <row r="20" spans="1:6" ht="15.75" customHeight="1" x14ac:dyDescent="0.25">
      <c r="A20" s="126" t="s">
        <v>144</v>
      </c>
      <c r="B20" s="126" t="s">
        <v>8</v>
      </c>
      <c r="C20" s="126">
        <v>16505.5</v>
      </c>
      <c r="D20" s="126">
        <v>19459.8</v>
      </c>
      <c r="E20" s="126">
        <v>20413</v>
      </c>
      <c r="F20" s="126">
        <v>30317</v>
      </c>
    </row>
    <row r="21" spans="1:6" ht="15.75" customHeight="1" thickBot="1" x14ac:dyDescent="0.3">
      <c r="A21" s="26" t="s">
        <v>37</v>
      </c>
      <c r="B21" s="19" t="s">
        <v>8</v>
      </c>
      <c r="C21" s="19">
        <v>-6.6</v>
      </c>
      <c r="D21" s="19">
        <v>-6.6</v>
      </c>
      <c r="E21" s="19">
        <v>-7</v>
      </c>
      <c r="F21" s="19">
        <v>-7</v>
      </c>
    </row>
    <row r="22" spans="1:6" ht="15.75" customHeight="1" x14ac:dyDescent="0.25">
      <c r="A22" s="127" t="s">
        <v>145</v>
      </c>
      <c r="B22" s="127" t="s">
        <v>8</v>
      </c>
      <c r="C22" s="127">
        <v>16498.900000000001</v>
      </c>
      <c r="D22" s="127">
        <v>19453.2</v>
      </c>
      <c r="E22" s="127">
        <v>20406</v>
      </c>
      <c r="F22" s="127">
        <v>30310</v>
      </c>
    </row>
    <row r="24" spans="1:6" ht="15.75" customHeight="1" x14ac:dyDescent="0.25">
      <c r="A24" s="126" t="s">
        <v>146</v>
      </c>
      <c r="B24" s="126"/>
      <c r="C24" s="126"/>
      <c r="D24" s="126"/>
      <c r="E24" s="126"/>
      <c r="F24" s="126"/>
    </row>
    <row r="25" spans="1:6" ht="15.75" customHeight="1" x14ac:dyDescent="0.25">
      <c r="A25" s="26" t="s">
        <v>147</v>
      </c>
      <c r="B25" s="19" t="s">
        <v>8</v>
      </c>
      <c r="C25" s="19">
        <v>7711.3</v>
      </c>
      <c r="D25" s="19">
        <v>16498.900000000001</v>
      </c>
      <c r="E25" s="19">
        <v>19453.2</v>
      </c>
      <c r="F25" s="19">
        <v>20413</v>
      </c>
    </row>
    <row r="26" spans="1:6" ht="15.75" customHeight="1" x14ac:dyDescent="0.25">
      <c r="A26" s="26" t="s">
        <v>148</v>
      </c>
      <c r="B26" s="19" t="s">
        <v>8</v>
      </c>
      <c r="C26" s="19">
        <v>-1222.5</v>
      </c>
      <c r="D26" s="19">
        <v>-971</v>
      </c>
      <c r="E26" s="19">
        <v>351</v>
      </c>
      <c r="F26" s="19">
        <v>527</v>
      </c>
    </row>
    <row r="27" spans="1:6" ht="15.75" customHeight="1" x14ac:dyDescent="0.25">
      <c r="A27" s="26" t="s">
        <v>149</v>
      </c>
      <c r="B27" s="19" t="s">
        <v>8</v>
      </c>
      <c r="C27" s="19">
        <v>2.2000000000000002</v>
      </c>
      <c r="D27" s="19">
        <v>-98.5</v>
      </c>
      <c r="E27" s="19">
        <v>55</v>
      </c>
      <c r="F27" s="19">
        <v>128</v>
      </c>
    </row>
    <row r="28" spans="1:6" ht="15.75" customHeight="1" x14ac:dyDescent="0.25">
      <c r="A28" s="26" t="s">
        <v>150</v>
      </c>
      <c r="B28" s="19" t="s">
        <v>8</v>
      </c>
      <c r="C28" s="19">
        <v>8723.5</v>
      </c>
      <c r="D28" s="19">
        <v>4</v>
      </c>
      <c r="E28" s="19">
        <v>23</v>
      </c>
      <c r="F28" s="19">
        <v>8501</v>
      </c>
    </row>
    <row r="29" spans="1:6" ht="15.75" customHeight="1" x14ac:dyDescent="0.25">
      <c r="A29" s="26" t="s">
        <v>151</v>
      </c>
      <c r="B29" s="19" t="s">
        <v>8</v>
      </c>
      <c r="C29" s="19">
        <v>877.9</v>
      </c>
      <c r="D29" s="19">
        <v>506.5</v>
      </c>
      <c r="E29" s="19">
        <v>-515</v>
      </c>
      <c r="F29" s="19">
        <v>798</v>
      </c>
    </row>
    <row r="30" spans="1:6" ht="15.75" customHeight="1" x14ac:dyDescent="0.25">
      <c r="A30" s="26" t="s">
        <v>152</v>
      </c>
      <c r="B30" s="19" t="s">
        <v>8</v>
      </c>
      <c r="C30" s="19">
        <v>406.5</v>
      </c>
      <c r="D30" s="19">
        <v>3513.3</v>
      </c>
      <c r="E30" s="19">
        <v>1052</v>
      </c>
      <c r="F30" s="19">
        <v>-57</v>
      </c>
    </row>
    <row r="31" spans="1:6" ht="15.75" customHeight="1" x14ac:dyDescent="0.25">
      <c r="A31" s="20" t="s">
        <v>153</v>
      </c>
      <c r="B31" s="20" t="s">
        <v>8</v>
      </c>
      <c r="C31" s="20">
        <v>16498.900000000001</v>
      </c>
      <c r="D31" s="20">
        <v>19453.2</v>
      </c>
      <c r="E31" s="20">
        <v>20406</v>
      </c>
      <c r="F31" s="20">
        <v>30310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50D0-003F-4F84-9153-58075A8CDA1D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07D4-F6EC-4D47-8042-04E9B49EAA99}">
  <dimension ref="A247:Q1255"/>
  <sheetViews>
    <sheetView workbookViewId="0"/>
  </sheetViews>
  <sheetFormatPr defaultRowHeight="15.75" x14ac:dyDescent="0.25"/>
  <sheetData>
    <row r="247" spans="1:4" x14ac:dyDescent="0.25">
      <c r="A247" s="2"/>
      <c r="B247" s="2"/>
      <c r="C247" s="2"/>
      <c r="D247" s="2"/>
    </row>
    <row r="248" spans="1:4" x14ac:dyDescent="0.25">
      <c r="A248" s="3"/>
      <c r="B248" s="3"/>
      <c r="C248" s="3"/>
      <c r="D248" s="3"/>
    </row>
    <row r="249" spans="1:4" x14ac:dyDescent="0.25">
      <c r="A249" s="13"/>
      <c r="B249" s="13"/>
      <c r="C249" s="13"/>
      <c r="D249" s="13"/>
    </row>
    <row r="250" spans="1:4" x14ac:dyDescent="0.25">
      <c r="A250" s="13"/>
      <c r="B250" s="13"/>
      <c r="C250" s="13"/>
      <c r="D250" s="13"/>
    </row>
    <row r="251" spans="1:4" x14ac:dyDescent="0.25">
      <c r="A251" s="13"/>
      <c r="B251" s="13"/>
      <c r="C251" s="13"/>
      <c r="D251" s="13"/>
    </row>
    <row r="252" spans="1:4" x14ac:dyDescent="0.25">
      <c r="A252" s="13"/>
      <c r="B252" s="13"/>
      <c r="C252" s="13"/>
      <c r="D252" s="13"/>
    </row>
    <row r="253" spans="1:4" x14ac:dyDescent="0.25">
      <c r="A253" s="13"/>
      <c r="B253" s="13"/>
      <c r="C253" s="13"/>
      <c r="D253" s="13"/>
    </row>
    <row r="254" spans="1:4" x14ac:dyDescent="0.25">
      <c r="A254" s="13"/>
      <c r="B254" s="13"/>
      <c r="C254" s="13"/>
      <c r="D254" s="13"/>
    </row>
    <row r="255" spans="1:4" x14ac:dyDescent="0.25">
      <c r="A255" s="13"/>
      <c r="B255" s="13"/>
      <c r="C255" s="13"/>
      <c r="D255" s="13"/>
    </row>
    <row r="256" spans="1:4" x14ac:dyDescent="0.25">
      <c r="A256" s="13"/>
      <c r="B256" s="13"/>
      <c r="C256" s="13"/>
      <c r="D256" s="13"/>
    </row>
    <row r="257" spans="1:4" x14ac:dyDescent="0.25">
      <c r="A257" s="13"/>
      <c r="B257" s="13"/>
      <c r="C257" s="13"/>
      <c r="D257" s="13"/>
    </row>
    <row r="258" spans="1:4" x14ac:dyDescent="0.25">
      <c r="A258" s="13"/>
      <c r="B258" s="13"/>
      <c r="C258" s="13"/>
      <c r="D258" s="13"/>
    </row>
    <row r="259" spans="1:4" x14ac:dyDescent="0.25">
      <c r="A259" s="14"/>
      <c r="B259" s="14"/>
      <c r="C259" s="14"/>
      <c r="D259" s="14"/>
    </row>
    <row r="260" spans="1:4" x14ac:dyDescent="0.25">
      <c r="A260" s="15"/>
      <c r="B260" s="15"/>
      <c r="C260" s="15"/>
      <c r="D260" s="15"/>
    </row>
    <row r="261" spans="1:4" x14ac:dyDescent="0.25">
      <c r="A261" s="13"/>
      <c r="B261" s="13"/>
      <c r="C261" s="13"/>
      <c r="D261" s="13"/>
    </row>
    <row r="262" spans="1:4" x14ac:dyDescent="0.25">
      <c r="A262" s="13"/>
      <c r="B262" s="13"/>
      <c r="C262" s="13"/>
      <c r="D262" s="13"/>
    </row>
    <row r="263" spans="1:4" x14ac:dyDescent="0.25">
      <c r="A263" s="13"/>
      <c r="B263" s="13"/>
      <c r="C263" s="13"/>
      <c r="D263" s="13"/>
    </row>
    <row r="264" spans="1:4" x14ac:dyDescent="0.25">
      <c r="A264" s="13"/>
      <c r="B264" s="13"/>
      <c r="C264" s="13"/>
      <c r="D264" s="13"/>
    </row>
    <row r="265" spans="1:4" x14ac:dyDescent="0.25">
      <c r="A265" s="13"/>
      <c r="B265" s="13"/>
      <c r="C265" s="13"/>
      <c r="D265" s="13"/>
    </row>
    <row r="266" spans="1:4" x14ac:dyDescent="0.25">
      <c r="A266" s="13"/>
      <c r="B266" s="13"/>
      <c r="C266" s="13"/>
      <c r="D266" s="13"/>
    </row>
    <row r="267" spans="1:4" x14ac:dyDescent="0.25">
      <c r="A267" s="13"/>
      <c r="B267" s="13"/>
      <c r="C267" s="13"/>
      <c r="D267" s="13"/>
    </row>
    <row r="268" spans="1:4" x14ac:dyDescent="0.25">
      <c r="A268" s="13"/>
      <c r="B268" s="13"/>
      <c r="C268" s="13"/>
      <c r="D268" s="13"/>
    </row>
    <row r="269" spans="1:4" ht="16.5" thickBot="1" x14ac:dyDescent="0.3">
      <c r="A269" s="14"/>
      <c r="B269" s="14"/>
      <c r="C269" s="14"/>
      <c r="D269" s="14"/>
    </row>
    <row r="270" spans="1:4" x14ac:dyDescent="0.25">
      <c r="A270" s="16"/>
      <c r="B270" s="16"/>
      <c r="C270" s="16"/>
      <c r="D270" s="16"/>
    </row>
    <row r="271" spans="1:4" x14ac:dyDescent="0.25">
      <c r="A271" s="17"/>
      <c r="B271" s="17"/>
      <c r="C271" s="17"/>
      <c r="D271" s="17"/>
    </row>
    <row r="272" spans="1:4" x14ac:dyDescent="0.25">
      <c r="A272" s="15"/>
      <c r="B272" s="15"/>
      <c r="C272" s="15"/>
      <c r="D272" s="15"/>
    </row>
    <row r="273" spans="1:4" x14ac:dyDescent="0.25">
      <c r="A273" s="13"/>
      <c r="B273" s="13"/>
      <c r="C273" s="13"/>
      <c r="D273" s="13"/>
    </row>
    <row r="274" spans="1:4" x14ac:dyDescent="0.25">
      <c r="A274" s="13"/>
      <c r="B274" s="13"/>
      <c r="C274" s="13"/>
      <c r="D274" s="13"/>
    </row>
    <row r="275" spans="1:4" x14ac:dyDescent="0.25">
      <c r="A275" s="14"/>
      <c r="B275" s="14"/>
      <c r="C275" s="14"/>
      <c r="D275" s="14"/>
    </row>
    <row r="276" spans="1:4" x14ac:dyDescent="0.25">
      <c r="A276" s="13"/>
      <c r="B276" s="13"/>
      <c r="C276" s="13"/>
      <c r="D276" s="13"/>
    </row>
    <row r="277" spans="1:4" x14ac:dyDescent="0.25">
      <c r="A277" s="14"/>
      <c r="B277" s="14"/>
      <c r="C277" s="14"/>
      <c r="D277" s="14"/>
    </row>
    <row r="278" spans="1:4" x14ac:dyDescent="0.25">
      <c r="A278" s="15"/>
      <c r="B278" s="15"/>
      <c r="C278" s="15"/>
      <c r="D278" s="15"/>
    </row>
    <row r="279" spans="1:4" x14ac:dyDescent="0.25">
      <c r="A279" s="15"/>
      <c r="B279" s="15"/>
      <c r="C279" s="15"/>
      <c r="D279" s="15"/>
    </row>
    <row r="280" spans="1:4" x14ac:dyDescent="0.25">
      <c r="A280" s="13"/>
      <c r="B280" s="13"/>
      <c r="C280" s="13"/>
      <c r="D280" s="13"/>
    </row>
    <row r="281" spans="1:4" x14ac:dyDescent="0.25">
      <c r="A281" s="13"/>
      <c r="B281" s="13"/>
      <c r="C281" s="13"/>
      <c r="D281" s="13"/>
    </row>
    <row r="282" spans="1:4" x14ac:dyDescent="0.25">
      <c r="A282" s="13"/>
      <c r="B282" s="13"/>
      <c r="C282" s="13"/>
      <c r="D282" s="13"/>
    </row>
    <row r="283" spans="1:4" x14ac:dyDescent="0.25">
      <c r="A283" s="13"/>
      <c r="B283" s="13"/>
      <c r="C283" s="13"/>
      <c r="D283" s="13"/>
    </row>
    <row r="284" spans="1:4" x14ac:dyDescent="0.25">
      <c r="A284" s="13"/>
      <c r="B284" s="13"/>
      <c r="C284" s="13"/>
      <c r="D284" s="13"/>
    </row>
    <row r="285" spans="1:4" x14ac:dyDescent="0.25">
      <c r="A285" s="13"/>
      <c r="B285" s="13"/>
      <c r="C285" s="13"/>
      <c r="D285" s="13"/>
    </row>
    <row r="286" spans="1:4" x14ac:dyDescent="0.25">
      <c r="A286" s="14"/>
      <c r="B286" s="14"/>
      <c r="C286" s="14"/>
      <c r="D286" s="14"/>
    </row>
    <row r="287" spans="1:4" x14ac:dyDescent="0.25">
      <c r="A287" s="15"/>
      <c r="B287" s="15"/>
      <c r="C287" s="15"/>
      <c r="D287" s="15"/>
    </row>
    <row r="288" spans="1:4" x14ac:dyDescent="0.25">
      <c r="A288" s="13"/>
      <c r="B288" s="13"/>
      <c r="C288" s="13"/>
      <c r="D288" s="13"/>
    </row>
    <row r="289" spans="1:4" x14ac:dyDescent="0.25">
      <c r="A289" s="13"/>
      <c r="B289" s="13"/>
      <c r="C289" s="13"/>
      <c r="D289" s="13"/>
    </row>
    <row r="290" spans="1:4" x14ac:dyDescent="0.25">
      <c r="A290" s="13"/>
      <c r="B290" s="13"/>
      <c r="C290" s="13"/>
      <c r="D290" s="13"/>
    </row>
    <row r="291" spans="1:4" x14ac:dyDescent="0.25">
      <c r="A291" s="13"/>
      <c r="B291" s="13"/>
      <c r="C291" s="13"/>
      <c r="D291" s="13"/>
    </row>
    <row r="292" spans="1:4" x14ac:dyDescent="0.25">
      <c r="A292" s="13"/>
      <c r="B292" s="13"/>
      <c r="C292" s="13"/>
      <c r="D292" s="13"/>
    </row>
    <row r="293" spans="1:4" x14ac:dyDescent="0.25">
      <c r="A293" s="13"/>
      <c r="B293" s="13"/>
      <c r="C293" s="13"/>
      <c r="D293" s="13"/>
    </row>
    <row r="294" spans="1:4" x14ac:dyDescent="0.25">
      <c r="A294" s="13"/>
      <c r="B294" s="13"/>
      <c r="C294" s="13"/>
      <c r="D294" s="13"/>
    </row>
    <row r="295" spans="1:4" x14ac:dyDescent="0.25">
      <c r="A295" s="14"/>
      <c r="B295" s="14"/>
      <c r="C295" s="14"/>
      <c r="D295" s="14"/>
    </row>
    <row r="296" spans="1:4" ht="16.5" thickBot="1" x14ac:dyDescent="0.3">
      <c r="A296" s="14"/>
      <c r="B296" s="14"/>
      <c r="C296" s="14"/>
      <c r="D296" s="14"/>
    </row>
    <row r="297" spans="1:4" x14ac:dyDescent="0.25">
      <c r="A297" s="16"/>
      <c r="B297" s="16"/>
      <c r="C297" s="16"/>
      <c r="D297" s="16"/>
    </row>
    <row r="376" spans="1:1" x14ac:dyDescent="0.25">
      <c r="A376" s="32"/>
    </row>
    <row r="377" spans="1:1" x14ac:dyDescent="0.25">
      <c r="A377" s="33"/>
    </row>
    <row r="378" spans="1:1" x14ac:dyDescent="0.25">
      <c r="A378" s="34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0"/>
    </row>
    <row r="383" spans="1:1" x14ac:dyDescent="0.25">
      <c r="A383" s="36"/>
    </row>
    <row r="384" spans="1:1" x14ac:dyDescent="0.25">
      <c r="A384" s="36"/>
    </row>
    <row r="385" spans="1:11" x14ac:dyDescent="0.25">
      <c r="A385" s="37"/>
    </row>
    <row r="386" spans="1:11" x14ac:dyDescent="0.25">
      <c r="A386" s="31"/>
    </row>
    <row r="387" spans="1:11" x14ac:dyDescent="0.25">
      <c r="A387" s="36"/>
    </row>
    <row r="388" spans="1:11" x14ac:dyDescent="0.25">
      <c r="A388" s="35"/>
    </row>
    <row r="389" spans="1:11" x14ac:dyDescent="0.25">
      <c r="A389" s="31"/>
    </row>
    <row r="390" spans="1:11" x14ac:dyDescent="0.25">
      <c r="A390" s="31"/>
    </row>
    <row r="391" spans="1:11" ht="16.5" thickBot="1" x14ac:dyDescent="0.3">
      <c r="A391" s="31"/>
    </row>
    <row r="392" spans="1:11" x14ac:dyDescent="0.25">
      <c r="A392" s="38"/>
    </row>
    <row r="393" spans="1:11" x14ac:dyDescent="0.25">
      <c r="A393" s="39"/>
    </row>
    <row r="394" spans="1:11" x14ac:dyDescent="0.25">
      <c r="A394" s="36"/>
    </row>
    <row r="395" spans="1:11" x14ac:dyDescent="0.25">
      <c r="A395" s="43"/>
    </row>
    <row r="396" spans="1:11" x14ac:dyDescent="0.25">
      <c r="A396" s="45"/>
      <c r="B396" s="40"/>
      <c r="C396" s="40"/>
      <c r="D396" s="40"/>
      <c r="E396" s="40"/>
      <c r="F396" s="40"/>
      <c r="G396" s="40"/>
      <c r="H396" s="40"/>
      <c r="I396" s="40"/>
      <c r="J396" s="40"/>
      <c r="K396" s="46"/>
    </row>
    <row r="397" spans="1:11" x14ac:dyDescent="0.25">
      <c r="A397" s="45"/>
      <c r="B397" s="40"/>
      <c r="C397" s="40"/>
      <c r="D397" s="40"/>
      <c r="E397" s="40"/>
      <c r="F397" s="40"/>
      <c r="G397" s="40"/>
      <c r="H397" s="40"/>
      <c r="I397" s="40"/>
      <c r="J397" s="40"/>
      <c r="K397" s="46"/>
    </row>
    <row r="398" spans="1:11" x14ac:dyDescent="0.25">
      <c r="A398" s="45"/>
      <c r="B398" s="40"/>
      <c r="C398" s="40"/>
      <c r="D398" s="40"/>
      <c r="E398" s="40"/>
      <c r="F398" s="40"/>
      <c r="G398" s="40"/>
      <c r="H398" s="40"/>
      <c r="I398" s="40"/>
      <c r="J398" s="40"/>
      <c r="K398" s="46"/>
    </row>
    <row r="399" spans="1:11" x14ac:dyDescent="0.25">
      <c r="A399" s="45"/>
      <c r="B399" s="40"/>
      <c r="C399" s="40"/>
      <c r="D399" s="40"/>
      <c r="E399" s="40"/>
      <c r="F399" s="40"/>
      <c r="G399" s="40"/>
      <c r="H399" s="40"/>
      <c r="I399" s="40"/>
      <c r="J399" s="40"/>
      <c r="K399" s="46"/>
    </row>
    <row r="400" spans="1:11" x14ac:dyDescent="0.25">
      <c r="A400" s="42"/>
      <c r="B400" s="41"/>
      <c r="C400" s="41"/>
      <c r="D400" s="41"/>
      <c r="E400" s="41"/>
      <c r="F400" s="41"/>
      <c r="G400" s="41"/>
      <c r="H400" s="41"/>
      <c r="I400" s="41"/>
      <c r="J400" s="41"/>
      <c r="K400" s="44"/>
    </row>
    <row r="401" spans="1:11" x14ac:dyDescent="0.25">
      <c r="A401" s="45"/>
      <c r="B401" s="40"/>
      <c r="C401" s="40"/>
      <c r="D401" s="40"/>
      <c r="E401" s="40"/>
      <c r="F401" s="40"/>
      <c r="G401" s="40"/>
      <c r="H401" s="40"/>
      <c r="I401" s="40"/>
      <c r="J401" s="40"/>
      <c r="K401" s="46"/>
    </row>
    <row r="402" spans="1:11" x14ac:dyDescent="0.25">
      <c r="A402" s="45"/>
      <c r="B402" s="40"/>
      <c r="C402" s="40"/>
      <c r="D402" s="40"/>
      <c r="E402" s="40"/>
      <c r="F402" s="40"/>
      <c r="G402" s="40"/>
      <c r="H402" s="40"/>
      <c r="I402" s="40"/>
      <c r="J402" s="40"/>
      <c r="K402" s="46"/>
    </row>
    <row r="403" spans="1:11" x14ac:dyDescent="0.25">
      <c r="A403" s="45"/>
      <c r="B403" s="40"/>
      <c r="C403" s="40"/>
      <c r="D403" s="40"/>
      <c r="E403" s="40"/>
      <c r="F403" s="40"/>
      <c r="G403" s="40"/>
      <c r="H403" s="40"/>
      <c r="I403" s="40"/>
      <c r="J403" s="40"/>
      <c r="K403" s="46"/>
    </row>
    <row r="404" spans="1:11" x14ac:dyDescent="0.25">
      <c r="A404" s="45"/>
      <c r="B404" s="40"/>
      <c r="C404" s="40"/>
      <c r="D404" s="40"/>
      <c r="E404" s="40"/>
      <c r="F404" s="40"/>
      <c r="G404" s="40"/>
      <c r="H404" s="40"/>
      <c r="I404" s="40"/>
      <c r="J404" s="40"/>
      <c r="K404" s="46"/>
    </row>
    <row r="405" spans="1:11" x14ac:dyDescent="0.25">
      <c r="A405" s="42"/>
      <c r="B405" s="41"/>
      <c r="C405" s="41"/>
      <c r="D405" s="41"/>
      <c r="E405" s="41"/>
      <c r="F405" s="41"/>
      <c r="G405" s="41"/>
      <c r="H405" s="41"/>
      <c r="I405" s="41"/>
      <c r="J405" s="41"/>
      <c r="K405" s="44"/>
    </row>
    <row r="406" spans="1:11" x14ac:dyDescent="0.25">
      <c r="A406" s="45"/>
      <c r="B406" s="40"/>
      <c r="C406" s="40"/>
      <c r="D406" s="40"/>
      <c r="E406" s="40"/>
      <c r="F406" s="40"/>
      <c r="G406" s="40"/>
      <c r="H406" s="40"/>
      <c r="I406" s="40"/>
      <c r="J406" s="40"/>
      <c r="K406" s="46"/>
    </row>
    <row r="407" spans="1:11" x14ac:dyDescent="0.25">
      <c r="A407" s="45"/>
      <c r="B407" s="40"/>
      <c r="C407" s="40"/>
      <c r="D407" s="40"/>
      <c r="E407" s="40"/>
      <c r="F407" s="40"/>
      <c r="G407" s="40"/>
      <c r="H407" s="40"/>
      <c r="I407" s="40"/>
      <c r="J407" s="40"/>
      <c r="K407" s="46"/>
    </row>
    <row r="408" spans="1:11" x14ac:dyDescent="0.25">
      <c r="A408" s="45"/>
      <c r="B408" s="40"/>
      <c r="C408" s="40"/>
      <c r="D408" s="40"/>
      <c r="E408" s="40"/>
      <c r="F408" s="40"/>
      <c r="G408" s="40"/>
      <c r="H408" s="40"/>
      <c r="I408" s="40"/>
      <c r="J408" s="40"/>
      <c r="K408" s="46"/>
    </row>
    <row r="409" spans="1:11" x14ac:dyDescent="0.25">
      <c r="A409" s="45"/>
      <c r="B409" s="40"/>
      <c r="C409" s="40"/>
      <c r="D409" s="40"/>
      <c r="E409" s="40"/>
      <c r="F409" s="40"/>
      <c r="G409" s="40"/>
      <c r="H409" s="40"/>
      <c r="I409" s="40"/>
      <c r="J409" s="40"/>
      <c r="K409" s="46"/>
    </row>
    <row r="410" spans="1:11" x14ac:dyDescent="0.25">
      <c r="A410" s="45"/>
      <c r="B410" s="40"/>
      <c r="C410" s="40"/>
      <c r="D410" s="40"/>
      <c r="E410" s="40"/>
      <c r="F410" s="40"/>
      <c r="G410" s="40"/>
      <c r="H410" s="40"/>
      <c r="I410" s="40"/>
      <c r="J410" s="40"/>
      <c r="K410" s="46"/>
    </row>
    <row r="411" spans="1:11" x14ac:dyDescent="0.25">
      <c r="A411" s="42"/>
      <c r="B411" s="41"/>
      <c r="C411" s="41"/>
      <c r="D411" s="41"/>
      <c r="E411" s="41"/>
      <c r="F411" s="41"/>
      <c r="G411" s="41"/>
      <c r="H411" s="41"/>
      <c r="I411" s="41"/>
      <c r="J411" s="41"/>
      <c r="K411" s="44"/>
    </row>
    <row r="495" spans="1:13" x14ac:dyDescent="0.25">
      <c r="A495" s="54"/>
      <c r="B495" s="5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54"/>
      <c r="B496" s="5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54"/>
      <c r="B497" s="5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54"/>
      <c r="B498" s="5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54"/>
      <c r="B499" s="5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</row>
    <row r="504" spans="1:13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6" spans="1:13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9" spans="1:13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2" spans="1:13" ht="16.5" thickBot="1" x14ac:dyDescent="0.3"/>
    <row r="513" spans="1:1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5" spans="1:11" x14ac:dyDescent="0.25">
      <c r="A515" s="53"/>
      <c r="B515" s="53"/>
      <c r="C515" s="53"/>
      <c r="D515" s="53"/>
      <c r="E515" s="53"/>
      <c r="F515" s="53"/>
      <c r="G515" s="53"/>
      <c r="H515" s="53"/>
      <c r="I515" s="53"/>
      <c r="J515" s="53"/>
    </row>
    <row r="522" spans="1:11" x14ac:dyDescent="0.25">
      <c r="A522" s="9"/>
    </row>
    <row r="524" spans="1:11" ht="16.5" thickBot="1" x14ac:dyDescent="0.3"/>
    <row r="525" spans="1:11" x14ac:dyDescent="0.25">
      <c r="A525" s="11"/>
    </row>
    <row r="529" spans="1:1" ht="16.5" thickBot="1" x14ac:dyDescent="0.3">
      <c r="A529" s="56"/>
    </row>
    <row r="557" spans="1:1" x14ac:dyDescent="0.25">
      <c r="A557" s="37"/>
    </row>
    <row r="559" spans="1:1" x14ac:dyDescent="0.25">
      <c r="A559" s="36"/>
    </row>
    <row r="561" spans="1:11" x14ac:dyDescent="0.25">
      <c r="A561" s="47"/>
      <c r="B561" s="48"/>
      <c r="C561" s="48"/>
      <c r="D561" s="48"/>
      <c r="E561" s="48"/>
      <c r="F561" s="48"/>
      <c r="G561" s="48"/>
      <c r="H561" s="48"/>
      <c r="I561" s="48"/>
      <c r="J561" s="48"/>
      <c r="K561" s="49"/>
    </row>
    <row r="562" spans="1:11" x14ac:dyDescent="0.25">
      <c r="A562" s="47"/>
      <c r="B562" s="48"/>
      <c r="C562" s="48"/>
      <c r="D562" s="48"/>
      <c r="E562" s="48"/>
      <c r="F562" s="48"/>
      <c r="G562" s="48"/>
      <c r="H562" s="48"/>
      <c r="I562" s="48"/>
      <c r="J562" s="48"/>
      <c r="K562" s="49"/>
    </row>
    <row r="563" spans="1:11" x14ac:dyDescent="0.25">
      <c r="A563" s="47"/>
      <c r="B563" s="48"/>
      <c r="C563" s="48"/>
      <c r="D563" s="48"/>
      <c r="E563" s="48"/>
      <c r="F563" s="48"/>
      <c r="G563" s="48"/>
      <c r="H563" s="48"/>
      <c r="I563" s="48"/>
      <c r="J563" s="48"/>
      <c r="K563" s="49"/>
    </row>
    <row r="564" spans="1:11" x14ac:dyDescent="0.25">
      <c r="A564" s="47"/>
      <c r="B564" s="48"/>
      <c r="C564" s="48"/>
      <c r="D564" s="48"/>
      <c r="E564" s="48"/>
      <c r="F564" s="48"/>
      <c r="G564" s="48"/>
      <c r="H564" s="48"/>
      <c r="I564" s="48"/>
      <c r="J564" s="48"/>
      <c r="K564" s="49"/>
    </row>
    <row r="565" spans="1:11" x14ac:dyDescent="0.25">
      <c r="A565" s="50"/>
      <c r="B565" s="51"/>
      <c r="C565" s="51"/>
      <c r="D565" s="51"/>
      <c r="E565" s="51"/>
      <c r="F565" s="51"/>
      <c r="G565" s="51"/>
      <c r="H565" s="51"/>
      <c r="I565" s="51"/>
      <c r="J565" s="51"/>
      <c r="K565" s="52"/>
    </row>
    <row r="566" spans="1:11" x14ac:dyDescent="0.25">
      <c r="A566" s="47"/>
      <c r="B566" s="48"/>
      <c r="C566" s="48"/>
      <c r="D566" s="48"/>
      <c r="E566" s="48"/>
      <c r="F566" s="48"/>
      <c r="G566" s="48"/>
      <c r="H566" s="48"/>
      <c r="I566" s="48"/>
      <c r="J566" s="48"/>
      <c r="K566" s="49"/>
    </row>
    <row r="567" spans="1:11" x14ac:dyDescent="0.25">
      <c r="A567" s="47"/>
      <c r="B567" s="48"/>
      <c r="C567" s="48"/>
      <c r="D567" s="48"/>
      <c r="E567" s="48"/>
      <c r="F567" s="48"/>
      <c r="G567" s="48"/>
      <c r="H567" s="48"/>
      <c r="I567" s="48"/>
      <c r="J567" s="48"/>
      <c r="K567" s="49"/>
    </row>
    <row r="568" spans="1:11" x14ac:dyDescent="0.25">
      <c r="A568" s="47"/>
      <c r="B568" s="48"/>
      <c r="C568" s="48"/>
      <c r="D568" s="48"/>
      <c r="E568" s="48"/>
      <c r="F568" s="48"/>
      <c r="G568" s="48"/>
      <c r="H568" s="48"/>
      <c r="I568" s="48"/>
      <c r="J568" s="48"/>
      <c r="K568" s="49"/>
    </row>
    <row r="569" spans="1:11" x14ac:dyDescent="0.25">
      <c r="A569" s="47"/>
      <c r="B569" s="48"/>
      <c r="C569" s="48"/>
      <c r="D569" s="48"/>
      <c r="E569" s="48"/>
      <c r="F569" s="48"/>
      <c r="G569" s="48"/>
      <c r="H569" s="48"/>
      <c r="I569" s="48"/>
      <c r="J569" s="48"/>
      <c r="K569" s="49"/>
    </row>
    <row r="570" spans="1:11" x14ac:dyDescent="0.25">
      <c r="A570" s="50"/>
      <c r="B570" s="51"/>
      <c r="C570" s="51"/>
      <c r="D570" s="51"/>
      <c r="E570" s="51"/>
      <c r="F570" s="51"/>
      <c r="G570" s="51"/>
      <c r="H570" s="51"/>
      <c r="I570" s="51"/>
      <c r="J570" s="51"/>
      <c r="K570" s="52"/>
    </row>
    <row r="571" spans="1:11" x14ac:dyDescent="0.25">
      <c r="A571" s="47"/>
      <c r="B571" s="48"/>
      <c r="C571" s="48"/>
      <c r="D571" s="48"/>
      <c r="E571" s="48"/>
      <c r="F571" s="48"/>
      <c r="G571" s="48"/>
      <c r="H571" s="48"/>
      <c r="I571" s="48"/>
      <c r="J571" s="48"/>
      <c r="K571" s="49"/>
    </row>
    <row r="572" spans="1:11" x14ac:dyDescent="0.25">
      <c r="A572" s="47"/>
      <c r="B572" s="48"/>
      <c r="C572" s="48"/>
      <c r="D572" s="48"/>
      <c r="E572" s="48"/>
      <c r="F572" s="48"/>
      <c r="G572" s="48"/>
      <c r="H572" s="48"/>
      <c r="I572" s="48"/>
      <c r="J572" s="48"/>
      <c r="K572" s="49"/>
    </row>
    <row r="573" spans="1:11" x14ac:dyDescent="0.25">
      <c r="A573" s="47"/>
      <c r="B573" s="48"/>
      <c r="C573" s="48"/>
      <c r="D573" s="48"/>
      <c r="E573" s="48"/>
      <c r="F573" s="48"/>
      <c r="G573" s="48"/>
      <c r="H573" s="48"/>
      <c r="I573" s="48"/>
      <c r="J573" s="48"/>
      <c r="K573" s="49"/>
    </row>
    <row r="574" spans="1:11" x14ac:dyDescent="0.25">
      <c r="A574" s="47"/>
      <c r="B574" s="48"/>
      <c r="C574" s="48"/>
      <c r="D574" s="48"/>
      <c r="E574" s="48"/>
      <c r="F574" s="48"/>
      <c r="G574" s="48"/>
      <c r="H574" s="48"/>
      <c r="I574" s="48"/>
      <c r="J574" s="48"/>
      <c r="K574" s="49"/>
    </row>
    <row r="575" spans="1:11" x14ac:dyDescent="0.25">
      <c r="A575" s="47"/>
      <c r="B575" s="48"/>
      <c r="C575" s="48"/>
      <c r="D575" s="48"/>
      <c r="E575" s="48"/>
      <c r="F575" s="48"/>
      <c r="G575" s="48"/>
      <c r="H575" s="48"/>
      <c r="I575" s="48"/>
      <c r="J575" s="48"/>
      <c r="K575" s="49"/>
    </row>
    <row r="576" spans="1:11" x14ac:dyDescent="0.25">
      <c r="A576" s="50"/>
      <c r="B576" s="51"/>
      <c r="C576" s="51"/>
      <c r="D576" s="51"/>
      <c r="E576" s="51"/>
      <c r="F576" s="51"/>
      <c r="G576" s="51"/>
      <c r="H576" s="51"/>
      <c r="I576" s="51"/>
      <c r="J576" s="51"/>
      <c r="K576" s="52"/>
    </row>
    <row r="946" spans="1:17" x14ac:dyDescent="0.25">
      <c r="A946" s="63"/>
      <c r="B946" s="69"/>
      <c r="C946" s="64"/>
      <c r="D946" s="61"/>
      <c r="E946" s="64"/>
      <c r="F946" s="68"/>
    </row>
    <row r="947" spans="1:17" x14ac:dyDescent="0.25">
      <c r="A947" s="63"/>
      <c r="B947" s="70"/>
      <c r="C947" s="65"/>
      <c r="D947" s="65"/>
      <c r="E947" s="65"/>
      <c r="F947" s="65"/>
    </row>
    <row r="949" spans="1:17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spans="1:17" x14ac:dyDescent="0.25">
      <c r="A950" s="71"/>
      <c r="B950" s="72"/>
      <c r="C950" s="72"/>
      <c r="D950" s="71"/>
      <c r="E950" s="73"/>
      <c r="F950" s="71"/>
      <c r="G950" s="73"/>
      <c r="H950" s="71"/>
      <c r="I950" s="74"/>
      <c r="J950" s="71"/>
      <c r="K950" s="75"/>
      <c r="L950" s="62"/>
      <c r="M950" s="62"/>
      <c r="N950" s="62"/>
      <c r="O950" s="62"/>
      <c r="P950" s="62"/>
      <c r="Q950" s="62"/>
    </row>
    <row r="951" spans="1:17" x14ac:dyDescent="0.25">
      <c r="A951" s="66"/>
      <c r="B951" s="66"/>
    </row>
    <row r="952" spans="1:17" x14ac:dyDescent="0.25">
      <c r="A952" s="6"/>
      <c r="B952" s="6"/>
      <c r="C952" s="6"/>
      <c r="D952" s="6"/>
      <c r="E952" s="6"/>
      <c r="F952" s="6"/>
      <c r="G952" s="6"/>
      <c r="H952" s="6"/>
    </row>
    <row r="953" spans="1:17" x14ac:dyDescent="0.25">
      <c r="A953" s="57"/>
    </row>
    <row r="955" spans="1:17" x14ac:dyDescent="0.2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</row>
    <row r="956" spans="1:17" x14ac:dyDescent="0.25">
      <c r="A956" s="61"/>
    </row>
    <row r="957" spans="1:17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60" spans="1:17" x14ac:dyDescent="0.25">
      <c r="A960" s="8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 spans="1:17" x14ac:dyDescent="0.25">
      <c r="A961" s="3"/>
    </row>
    <row r="962" spans="1:17" x14ac:dyDescent="0.25">
      <c r="A962" s="4"/>
      <c r="G962" s="47"/>
      <c r="H962" s="48"/>
      <c r="I962" s="48"/>
      <c r="J962" s="48"/>
      <c r="K962" s="48"/>
      <c r="L962" s="48"/>
      <c r="M962" s="48"/>
      <c r="N962" s="48"/>
      <c r="O962" s="48"/>
      <c r="P962" s="48"/>
      <c r="Q962" s="49"/>
    </row>
    <row r="963" spans="1:17" x14ac:dyDescent="0.25">
      <c r="A963" s="4"/>
      <c r="G963" s="47"/>
      <c r="H963" s="48"/>
      <c r="I963" s="48"/>
      <c r="J963" s="48"/>
      <c r="K963" s="48"/>
      <c r="L963" s="48"/>
      <c r="M963" s="48"/>
      <c r="N963" s="48"/>
      <c r="O963" s="48"/>
      <c r="P963" s="48"/>
      <c r="Q963" s="49"/>
    </row>
    <row r="964" spans="1:17" x14ac:dyDescent="0.25">
      <c r="A964" s="4"/>
      <c r="G964" s="47"/>
      <c r="H964" s="48"/>
      <c r="I964" s="48"/>
      <c r="J964" s="48"/>
      <c r="K964" s="48"/>
      <c r="L964" s="48"/>
      <c r="M964" s="48"/>
      <c r="N964" s="48"/>
      <c r="O964" s="48"/>
      <c r="P964" s="48"/>
      <c r="Q964" s="49"/>
    </row>
    <row r="965" spans="1:17" x14ac:dyDescent="0.25">
      <c r="A965" s="4"/>
      <c r="G965" s="47"/>
      <c r="H965" s="48"/>
      <c r="I965" s="48"/>
      <c r="J965" s="48"/>
      <c r="K965" s="48"/>
      <c r="L965" s="48"/>
      <c r="M965" s="48"/>
      <c r="N965" s="48"/>
      <c r="O965" s="48"/>
      <c r="P965" s="48"/>
      <c r="Q965" s="49"/>
    </row>
    <row r="966" spans="1:17" x14ac:dyDescent="0.25">
      <c r="A966" s="4"/>
      <c r="G966" s="50"/>
      <c r="H966" s="51"/>
      <c r="I966" s="51"/>
      <c r="J966" s="51"/>
      <c r="K966" s="51"/>
      <c r="L966" s="51"/>
      <c r="M966" s="51"/>
      <c r="N966" s="51"/>
      <c r="O966" s="51"/>
      <c r="P966" s="51"/>
      <c r="Q966" s="52"/>
    </row>
    <row r="968" spans="1:17" x14ac:dyDescent="0.25">
      <c r="A968" s="3"/>
    </row>
    <row r="969" spans="1:17" x14ac:dyDescent="0.25">
      <c r="A969" s="4"/>
      <c r="G969" s="47"/>
      <c r="H969" s="48"/>
      <c r="I969" s="48"/>
      <c r="J969" s="48"/>
      <c r="K969" s="48"/>
      <c r="L969" s="48"/>
      <c r="M969" s="48"/>
      <c r="N969" s="48"/>
      <c r="O969" s="48"/>
      <c r="P969" s="48"/>
      <c r="Q969" s="49"/>
    </row>
    <row r="970" spans="1:17" x14ac:dyDescent="0.25">
      <c r="A970" s="4"/>
      <c r="G970" s="47"/>
      <c r="H970" s="48"/>
      <c r="I970" s="48"/>
      <c r="J970" s="48"/>
      <c r="K970" s="48"/>
      <c r="L970" s="48"/>
      <c r="M970" s="48"/>
      <c r="N970" s="48"/>
      <c r="O970" s="48"/>
      <c r="P970" s="48"/>
      <c r="Q970" s="49"/>
    </row>
    <row r="971" spans="1:17" x14ac:dyDescent="0.25">
      <c r="A971" s="4"/>
      <c r="G971" s="47"/>
      <c r="H971" s="48"/>
      <c r="I971" s="48"/>
      <c r="J971" s="48"/>
      <c r="K971" s="48"/>
      <c r="L971" s="48"/>
      <c r="M971" s="48"/>
      <c r="N971" s="48"/>
      <c r="O971" s="48"/>
      <c r="P971" s="48"/>
      <c r="Q971" s="49"/>
    </row>
    <row r="972" spans="1:17" x14ac:dyDescent="0.25">
      <c r="A972" s="4"/>
      <c r="G972" s="47"/>
      <c r="H972" s="48"/>
      <c r="I972" s="48"/>
      <c r="J972" s="48"/>
      <c r="K972" s="48"/>
      <c r="L972" s="48"/>
      <c r="M972" s="48"/>
      <c r="N972" s="48"/>
      <c r="O972" s="48"/>
      <c r="P972" s="48"/>
      <c r="Q972" s="49"/>
    </row>
    <row r="973" spans="1:17" x14ac:dyDescent="0.25">
      <c r="A973" s="4"/>
      <c r="G973" s="50"/>
      <c r="H973" s="51"/>
      <c r="I973" s="51"/>
      <c r="J973" s="51"/>
      <c r="K973" s="51"/>
      <c r="L973" s="51"/>
      <c r="M973" s="51"/>
      <c r="N973" s="51"/>
      <c r="O973" s="51"/>
      <c r="P973" s="51"/>
      <c r="Q973" s="52"/>
    </row>
    <row r="975" spans="1:17" x14ac:dyDescent="0.25">
      <c r="A975" s="3"/>
    </row>
    <row r="976" spans="1:17" x14ac:dyDescent="0.25">
      <c r="A976" s="4"/>
      <c r="G976" s="47"/>
      <c r="H976" s="48"/>
      <c r="I976" s="48"/>
      <c r="J976" s="48"/>
      <c r="K976" s="48"/>
      <c r="L976" s="48"/>
      <c r="M976" s="48"/>
      <c r="N976" s="48"/>
      <c r="O976" s="48"/>
      <c r="P976" s="48"/>
      <c r="Q976" s="49"/>
    </row>
    <row r="977" spans="1:17" x14ac:dyDescent="0.25">
      <c r="A977" s="4"/>
      <c r="G977" s="47"/>
      <c r="H977" s="48"/>
      <c r="I977" s="48"/>
      <c r="J977" s="48"/>
      <c r="K977" s="48"/>
      <c r="L977" s="48"/>
      <c r="M977" s="48"/>
      <c r="N977" s="48"/>
      <c r="O977" s="48"/>
      <c r="P977" s="48"/>
      <c r="Q977" s="49"/>
    </row>
    <row r="978" spans="1:17" x14ac:dyDescent="0.25">
      <c r="A978" s="4"/>
      <c r="G978" s="47"/>
      <c r="H978" s="48"/>
      <c r="I978" s="48"/>
      <c r="J978" s="48"/>
      <c r="K978" s="48"/>
      <c r="L978" s="48"/>
      <c r="M978" s="48"/>
      <c r="N978" s="48"/>
      <c r="O978" s="48"/>
      <c r="P978" s="48"/>
      <c r="Q978" s="49"/>
    </row>
    <row r="979" spans="1:17" x14ac:dyDescent="0.25">
      <c r="A979" s="4"/>
      <c r="G979" s="47"/>
      <c r="H979" s="48"/>
      <c r="I979" s="48"/>
      <c r="J979" s="48"/>
      <c r="K979" s="48"/>
      <c r="L979" s="48"/>
      <c r="M979" s="48"/>
      <c r="N979" s="48"/>
      <c r="O979" s="48"/>
      <c r="P979" s="48"/>
      <c r="Q979" s="49"/>
    </row>
    <row r="980" spans="1:17" x14ac:dyDescent="0.25">
      <c r="A980" s="4"/>
      <c r="G980" s="47"/>
      <c r="H980" s="48"/>
      <c r="I980" s="48"/>
      <c r="J980" s="48"/>
      <c r="K980" s="48"/>
      <c r="L980" s="48"/>
      <c r="M980" s="48"/>
      <c r="N980" s="48"/>
      <c r="O980" s="48"/>
      <c r="P980" s="48"/>
      <c r="Q980" s="49"/>
    </row>
    <row r="981" spans="1:17" x14ac:dyDescent="0.25">
      <c r="A981" s="4"/>
      <c r="G981" s="50"/>
      <c r="H981" s="51"/>
      <c r="I981" s="51"/>
      <c r="J981" s="51"/>
      <c r="K981" s="51"/>
      <c r="L981" s="51"/>
      <c r="M981" s="51"/>
      <c r="N981" s="51"/>
      <c r="O981" s="51"/>
      <c r="P981" s="51"/>
      <c r="Q981" s="52"/>
    </row>
    <row r="983" spans="1:17" x14ac:dyDescent="0.25">
      <c r="A983" s="8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 spans="1:17" x14ac:dyDescent="0.25">
      <c r="A984" s="3"/>
    </row>
    <row r="985" spans="1:17" x14ac:dyDescent="0.25">
      <c r="A985" s="4"/>
      <c r="G985" s="47"/>
      <c r="H985" s="48"/>
      <c r="I985" s="48"/>
      <c r="J985" s="48"/>
      <c r="K985" s="48"/>
      <c r="L985" s="48"/>
      <c r="M985" s="48"/>
      <c r="N985" s="48"/>
      <c r="O985" s="48"/>
      <c r="P985" s="48"/>
      <c r="Q985" s="49"/>
    </row>
    <row r="986" spans="1:17" x14ac:dyDescent="0.25">
      <c r="A986" s="4"/>
      <c r="G986" s="47"/>
      <c r="H986" s="48"/>
      <c r="I986" s="48"/>
      <c r="J986" s="48"/>
      <c r="K986" s="48"/>
      <c r="L986" s="48"/>
      <c r="M986" s="48"/>
      <c r="N986" s="48"/>
      <c r="O986" s="48"/>
      <c r="P986" s="48"/>
      <c r="Q986" s="49"/>
    </row>
    <row r="987" spans="1:17" x14ac:dyDescent="0.25">
      <c r="A987" s="4"/>
      <c r="G987" s="47"/>
      <c r="H987" s="48"/>
      <c r="I987" s="48"/>
      <c r="J987" s="48"/>
      <c r="K987" s="48"/>
      <c r="L987" s="48"/>
      <c r="M987" s="48"/>
      <c r="N987" s="48"/>
      <c r="O987" s="48"/>
      <c r="P987" s="48"/>
      <c r="Q987" s="49"/>
    </row>
    <row r="988" spans="1:17" x14ac:dyDescent="0.25">
      <c r="A988" s="4"/>
      <c r="G988" s="47"/>
      <c r="H988" s="48"/>
      <c r="I988" s="48"/>
      <c r="J988" s="48"/>
      <c r="K988" s="48"/>
      <c r="L988" s="48"/>
      <c r="M988" s="48"/>
      <c r="N988" s="48"/>
      <c r="O988" s="48"/>
      <c r="P988" s="48"/>
      <c r="Q988" s="49"/>
    </row>
    <row r="989" spans="1:17" x14ac:dyDescent="0.25">
      <c r="A989" s="4"/>
      <c r="G989" s="50"/>
      <c r="H989" s="51"/>
      <c r="I989" s="51"/>
      <c r="J989" s="51"/>
      <c r="K989" s="51"/>
      <c r="L989" s="51"/>
      <c r="M989" s="51"/>
      <c r="N989" s="51"/>
      <c r="O989" s="51"/>
      <c r="P989" s="51"/>
      <c r="Q989" s="52"/>
    </row>
    <row r="991" spans="1:17" x14ac:dyDescent="0.25">
      <c r="A991" s="3"/>
    </row>
    <row r="992" spans="1:17" x14ac:dyDescent="0.25">
      <c r="A992" s="4"/>
      <c r="G992" s="47"/>
      <c r="H992" s="48"/>
      <c r="I992" s="48"/>
      <c r="J992" s="48"/>
      <c r="K992" s="48"/>
      <c r="L992" s="48"/>
      <c r="M992" s="48"/>
      <c r="N992" s="48"/>
      <c r="O992" s="48"/>
      <c r="P992" s="48"/>
      <c r="Q992" s="49"/>
    </row>
    <row r="993" spans="1:17" x14ac:dyDescent="0.25">
      <c r="A993" s="4"/>
      <c r="G993" s="47"/>
      <c r="H993" s="48"/>
      <c r="I993" s="48"/>
      <c r="J993" s="48"/>
      <c r="K993" s="48"/>
      <c r="L993" s="48"/>
      <c r="M993" s="48"/>
      <c r="N993" s="48"/>
      <c r="O993" s="48"/>
      <c r="P993" s="48"/>
      <c r="Q993" s="49"/>
    </row>
    <row r="994" spans="1:17" x14ac:dyDescent="0.25">
      <c r="A994" s="4"/>
      <c r="G994" s="47"/>
      <c r="H994" s="48"/>
      <c r="I994" s="48"/>
      <c r="J994" s="48"/>
      <c r="K994" s="48"/>
      <c r="L994" s="48"/>
      <c r="M994" s="48"/>
      <c r="N994" s="48"/>
      <c r="O994" s="48"/>
      <c r="P994" s="48"/>
      <c r="Q994" s="49"/>
    </row>
    <row r="995" spans="1:17" x14ac:dyDescent="0.25">
      <c r="A995" s="4"/>
      <c r="G995" s="47"/>
      <c r="H995" s="48"/>
      <c r="I995" s="48"/>
      <c r="J995" s="48"/>
      <c r="K995" s="48"/>
      <c r="L995" s="48"/>
      <c r="M995" s="48"/>
      <c r="N995" s="48"/>
      <c r="O995" s="48"/>
      <c r="P995" s="48"/>
      <c r="Q995" s="49"/>
    </row>
    <row r="996" spans="1:17" x14ac:dyDescent="0.25">
      <c r="A996" s="4"/>
      <c r="G996" s="50"/>
      <c r="H996" s="51"/>
      <c r="I996" s="51"/>
      <c r="J996" s="51"/>
      <c r="K996" s="51"/>
      <c r="L996" s="51"/>
      <c r="M996" s="51"/>
      <c r="N996" s="51"/>
      <c r="O996" s="51"/>
      <c r="P996" s="51"/>
      <c r="Q996" s="52"/>
    </row>
    <row r="998" spans="1:17" x14ac:dyDescent="0.25">
      <c r="A998" s="3"/>
    </row>
    <row r="999" spans="1:17" x14ac:dyDescent="0.25">
      <c r="A999" s="4"/>
      <c r="G999" s="47"/>
      <c r="H999" s="48"/>
      <c r="I999" s="48"/>
      <c r="J999" s="48"/>
      <c r="K999" s="48"/>
      <c r="L999" s="48"/>
      <c r="M999" s="48"/>
      <c r="N999" s="48"/>
      <c r="O999" s="48"/>
      <c r="P999" s="48"/>
      <c r="Q999" s="49"/>
    </row>
    <row r="1000" spans="1:17" x14ac:dyDescent="0.25">
      <c r="A1000" s="4"/>
      <c r="G1000" s="47"/>
      <c r="H1000" s="48"/>
      <c r="I1000" s="48"/>
      <c r="J1000" s="48"/>
      <c r="K1000" s="48"/>
      <c r="L1000" s="48"/>
      <c r="M1000" s="48"/>
      <c r="N1000" s="48"/>
      <c r="O1000" s="48"/>
      <c r="P1000" s="48"/>
      <c r="Q1000" s="49"/>
    </row>
    <row r="1001" spans="1:17" x14ac:dyDescent="0.25">
      <c r="A1001" s="4"/>
      <c r="G1001" s="47"/>
      <c r="H1001" s="48"/>
      <c r="I1001" s="48"/>
      <c r="J1001" s="48"/>
      <c r="K1001" s="48"/>
      <c r="L1001" s="48"/>
      <c r="M1001" s="48"/>
      <c r="N1001" s="48"/>
      <c r="O1001" s="48"/>
      <c r="P1001" s="48"/>
      <c r="Q1001" s="49"/>
    </row>
    <row r="1002" spans="1:17" x14ac:dyDescent="0.25">
      <c r="A1002" s="4"/>
      <c r="G1002" s="47"/>
      <c r="H1002" s="48"/>
      <c r="I1002" s="48"/>
      <c r="J1002" s="48"/>
      <c r="K1002" s="48"/>
      <c r="L1002" s="48"/>
      <c r="M1002" s="48"/>
      <c r="N1002" s="48"/>
      <c r="O1002" s="48"/>
      <c r="P1002" s="48"/>
      <c r="Q1002" s="49"/>
    </row>
    <row r="1003" spans="1:17" x14ac:dyDescent="0.25">
      <c r="A1003" s="4"/>
      <c r="G1003" s="47"/>
      <c r="H1003" s="48"/>
      <c r="I1003" s="48"/>
      <c r="J1003" s="48"/>
      <c r="K1003" s="48"/>
      <c r="L1003" s="48"/>
      <c r="M1003" s="48"/>
      <c r="N1003" s="48"/>
      <c r="O1003" s="48"/>
      <c r="P1003" s="48"/>
      <c r="Q1003" s="49"/>
    </row>
    <row r="1004" spans="1:17" x14ac:dyDescent="0.25">
      <c r="A1004" s="4"/>
      <c r="G1004" s="50"/>
      <c r="H1004" s="51"/>
      <c r="I1004" s="51"/>
      <c r="J1004" s="51"/>
      <c r="K1004" s="51"/>
      <c r="L1004" s="51"/>
      <c r="M1004" s="51"/>
      <c r="N1004" s="51"/>
      <c r="O1004" s="51"/>
      <c r="P1004" s="51"/>
      <c r="Q1004" s="52"/>
    </row>
    <row r="1006" spans="1:17" x14ac:dyDescent="0.25">
      <c r="A1006" s="8"/>
      <c r="B1006" s="7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</row>
    <row r="1007" spans="1:17" x14ac:dyDescent="0.25">
      <c r="A1007" s="3"/>
    </row>
    <row r="1008" spans="1:17" x14ac:dyDescent="0.25">
      <c r="A1008" s="4"/>
      <c r="G1008" s="47"/>
      <c r="H1008" s="48"/>
      <c r="I1008" s="48"/>
      <c r="J1008" s="48"/>
      <c r="K1008" s="48"/>
      <c r="L1008" s="48"/>
      <c r="M1008" s="48"/>
      <c r="N1008" s="48"/>
      <c r="O1008" s="48"/>
      <c r="P1008" s="48"/>
      <c r="Q1008" s="49"/>
    </row>
    <row r="1009" spans="1:17" x14ac:dyDescent="0.25">
      <c r="A1009" s="4"/>
      <c r="G1009" s="47"/>
      <c r="H1009" s="48"/>
      <c r="I1009" s="48"/>
      <c r="J1009" s="48"/>
      <c r="K1009" s="48"/>
      <c r="L1009" s="48"/>
      <c r="M1009" s="48"/>
      <c r="N1009" s="48"/>
      <c r="O1009" s="48"/>
      <c r="P1009" s="48"/>
      <c r="Q1009" s="49"/>
    </row>
    <row r="1010" spans="1:17" x14ac:dyDescent="0.25">
      <c r="A1010" s="4"/>
      <c r="G1010" s="47"/>
      <c r="H1010" s="48"/>
      <c r="I1010" s="48"/>
      <c r="J1010" s="48"/>
      <c r="K1010" s="48"/>
      <c r="L1010" s="48"/>
      <c r="M1010" s="48"/>
      <c r="N1010" s="48"/>
      <c r="O1010" s="48"/>
      <c r="P1010" s="48"/>
      <c r="Q1010" s="49"/>
    </row>
    <row r="1011" spans="1:17" x14ac:dyDescent="0.25">
      <c r="A1011" s="4"/>
      <c r="G1011" s="47"/>
      <c r="H1011" s="48"/>
      <c r="I1011" s="48"/>
      <c r="J1011" s="48"/>
      <c r="K1011" s="48"/>
      <c r="L1011" s="48"/>
      <c r="M1011" s="48"/>
      <c r="N1011" s="48"/>
      <c r="O1011" s="48"/>
      <c r="P1011" s="48"/>
      <c r="Q1011" s="49"/>
    </row>
    <row r="1012" spans="1:17" x14ac:dyDescent="0.25">
      <c r="A1012" s="4"/>
      <c r="G1012" s="50"/>
      <c r="H1012" s="51"/>
      <c r="I1012" s="51"/>
      <c r="J1012" s="51"/>
      <c r="K1012" s="51"/>
      <c r="L1012" s="51"/>
      <c r="M1012" s="51"/>
      <c r="N1012" s="51"/>
      <c r="O1012" s="51"/>
      <c r="P1012" s="51"/>
      <c r="Q1012" s="52"/>
    </row>
    <row r="1014" spans="1:17" x14ac:dyDescent="0.25">
      <c r="A1014" s="3"/>
    </row>
    <row r="1015" spans="1:17" x14ac:dyDescent="0.25">
      <c r="A1015" s="4"/>
      <c r="G1015" s="47"/>
      <c r="H1015" s="48"/>
      <c r="I1015" s="48"/>
      <c r="J1015" s="48"/>
      <c r="K1015" s="48"/>
      <c r="L1015" s="48"/>
      <c r="M1015" s="48"/>
      <c r="N1015" s="48"/>
      <c r="O1015" s="48"/>
      <c r="P1015" s="48"/>
      <c r="Q1015" s="49"/>
    </row>
    <row r="1016" spans="1:17" x14ac:dyDescent="0.25">
      <c r="A1016" s="4"/>
      <c r="G1016" s="47"/>
      <c r="H1016" s="48"/>
      <c r="I1016" s="48"/>
      <c r="J1016" s="48"/>
      <c r="K1016" s="48"/>
      <c r="L1016" s="48"/>
      <c r="M1016" s="48"/>
      <c r="N1016" s="48"/>
      <c r="O1016" s="48"/>
      <c r="P1016" s="48"/>
      <c r="Q1016" s="49"/>
    </row>
    <row r="1017" spans="1:17" x14ac:dyDescent="0.25">
      <c r="A1017" s="4"/>
      <c r="G1017" s="47"/>
      <c r="H1017" s="48"/>
      <c r="I1017" s="48"/>
      <c r="J1017" s="48"/>
      <c r="K1017" s="48"/>
      <c r="L1017" s="48"/>
      <c r="M1017" s="48"/>
      <c r="N1017" s="48"/>
      <c r="O1017" s="48"/>
      <c r="P1017" s="48"/>
      <c r="Q1017" s="49"/>
    </row>
    <row r="1018" spans="1:17" x14ac:dyDescent="0.25">
      <c r="A1018" s="4"/>
      <c r="G1018" s="47"/>
      <c r="H1018" s="48"/>
      <c r="I1018" s="48"/>
      <c r="J1018" s="48"/>
      <c r="K1018" s="48"/>
      <c r="L1018" s="48"/>
      <c r="M1018" s="48"/>
      <c r="N1018" s="48"/>
      <c r="O1018" s="48"/>
      <c r="P1018" s="48"/>
      <c r="Q1018" s="49"/>
    </row>
    <row r="1019" spans="1:17" x14ac:dyDescent="0.25">
      <c r="A1019" s="4"/>
      <c r="G1019" s="50"/>
      <c r="H1019" s="51"/>
      <c r="I1019" s="51"/>
      <c r="J1019" s="51"/>
      <c r="K1019" s="51"/>
      <c r="L1019" s="51"/>
      <c r="M1019" s="51"/>
      <c r="N1019" s="51"/>
      <c r="O1019" s="51"/>
      <c r="P1019" s="51"/>
      <c r="Q1019" s="52"/>
    </row>
    <row r="1021" spans="1:17" x14ac:dyDescent="0.25">
      <c r="A1021" s="3"/>
    </row>
    <row r="1022" spans="1:17" x14ac:dyDescent="0.25">
      <c r="A1022" s="4"/>
      <c r="G1022" s="47"/>
      <c r="H1022" s="48"/>
      <c r="I1022" s="48"/>
      <c r="J1022" s="48"/>
      <c r="K1022" s="48"/>
      <c r="L1022" s="48"/>
      <c r="M1022" s="48"/>
      <c r="N1022" s="48"/>
      <c r="O1022" s="48"/>
      <c r="P1022" s="48"/>
      <c r="Q1022" s="49"/>
    </row>
    <row r="1023" spans="1:17" x14ac:dyDescent="0.25">
      <c r="A1023" s="4"/>
      <c r="G1023" s="47"/>
      <c r="H1023" s="48"/>
      <c r="I1023" s="48"/>
      <c r="J1023" s="48"/>
      <c r="K1023" s="48"/>
      <c r="L1023" s="48"/>
      <c r="M1023" s="48"/>
      <c r="N1023" s="48"/>
      <c r="O1023" s="48"/>
      <c r="P1023" s="48"/>
      <c r="Q1023" s="49"/>
    </row>
    <row r="1024" spans="1:17" x14ac:dyDescent="0.25">
      <c r="A1024" s="4"/>
      <c r="G1024" s="47"/>
      <c r="H1024" s="48"/>
      <c r="I1024" s="48"/>
      <c r="J1024" s="48"/>
      <c r="K1024" s="48"/>
      <c r="L1024" s="48"/>
      <c r="M1024" s="48"/>
      <c r="N1024" s="48"/>
      <c r="O1024" s="48"/>
      <c r="P1024" s="48"/>
      <c r="Q1024" s="49"/>
    </row>
    <row r="1025" spans="1:17" x14ac:dyDescent="0.25">
      <c r="A1025" s="4"/>
      <c r="G1025" s="47"/>
      <c r="H1025" s="48"/>
      <c r="I1025" s="48"/>
      <c r="J1025" s="48"/>
      <c r="K1025" s="48"/>
      <c r="L1025" s="48"/>
      <c r="M1025" s="48"/>
      <c r="N1025" s="48"/>
      <c r="O1025" s="48"/>
      <c r="P1025" s="48"/>
      <c r="Q1025" s="49"/>
    </row>
    <row r="1026" spans="1:17" x14ac:dyDescent="0.25">
      <c r="A1026" s="4"/>
      <c r="G1026" s="47"/>
      <c r="H1026" s="48"/>
      <c r="I1026" s="48"/>
      <c r="J1026" s="48"/>
      <c r="K1026" s="48"/>
      <c r="L1026" s="48"/>
      <c r="M1026" s="48"/>
      <c r="N1026" s="48"/>
      <c r="O1026" s="48"/>
      <c r="P1026" s="48"/>
      <c r="Q1026" s="49"/>
    </row>
    <row r="1027" spans="1:17" x14ac:dyDescent="0.25">
      <c r="A1027" s="4"/>
      <c r="G1027" s="50"/>
      <c r="H1027" s="51"/>
      <c r="I1027" s="51"/>
      <c r="J1027" s="51"/>
      <c r="K1027" s="51"/>
      <c r="L1027" s="51"/>
      <c r="M1027" s="51"/>
      <c r="N1027" s="51"/>
      <c r="O1027" s="51"/>
      <c r="P1027" s="51"/>
      <c r="Q1027" s="52"/>
    </row>
    <row r="1028" spans="1:17" x14ac:dyDescent="0.25">
      <c r="A1028" s="79"/>
      <c r="B1028" s="78"/>
      <c r="C1028" s="78"/>
      <c r="D1028" s="78"/>
      <c r="E1028" s="78"/>
      <c r="F1028" s="78"/>
      <c r="G1028" s="86"/>
      <c r="H1028" s="87"/>
      <c r="I1028" s="87"/>
      <c r="J1028" s="87"/>
      <c r="K1028" s="87"/>
      <c r="L1028" s="87"/>
      <c r="M1028" s="87"/>
      <c r="N1028" s="87"/>
      <c r="O1028" s="87"/>
      <c r="P1028" s="87"/>
      <c r="Q1028" s="88"/>
    </row>
    <row r="1029" spans="1:17" x14ac:dyDescent="0.25">
      <c r="A1029" s="78"/>
      <c r="B1029" s="78"/>
      <c r="C1029" s="78"/>
      <c r="D1029" s="78"/>
      <c r="E1029" s="78"/>
      <c r="F1029" s="78"/>
      <c r="G1029" s="78"/>
      <c r="H1029" s="78"/>
      <c r="I1029" s="78"/>
      <c r="J1029" s="78"/>
      <c r="K1029" s="78"/>
      <c r="L1029" s="78"/>
      <c r="M1029" s="78"/>
      <c r="N1029" s="78"/>
      <c r="O1029" s="78"/>
      <c r="P1029" s="78"/>
      <c r="Q1029" s="78"/>
    </row>
    <row r="1030" spans="1:17" x14ac:dyDescent="0.25">
      <c r="A1030" s="78"/>
      <c r="B1030" s="78"/>
      <c r="C1030" s="78"/>
      <c r="D1030" s="78"/>
      <c r="E1030" s="78"/>
      <c r="F1030" s="78"/>
      <c r="G1030" s="78"/>
      <c r="H1030" s="78"/>
      <c r="I1030" s="78"/>
      <c r="J1030" s="78"/>
      <c r="K1030" s="78"/>
      <c r="L1030" s="78"/>
      <c r="M1030" s="78"/>
      <c r="N1030" s="78"/>
      <c r="O1030" s="78"/>
      <c r="P1030" s="78"/>
      <c r="Q1030" s="78"/>
    </row>
    <row r="1031" spans="1:17" x14ac:dyDescent="0.25">
      <c r="A1031" s="79"/>
      <c r="B1031" s="78"/>
      <c r="C1031" s="78"/>
      <c r="D1031" s="78"/>
      <c r="E1031" s="78"/>
      <c r="F1031" s="78"/>
      <c r="G1031" s="80"/>
      <c r="H1031" s="81"/>
      <c r="I1031" s="81"/>
      <c r="J1031" s="81"/>
      <c r="K1031" s="81"/>
      <c r="L1031" s="81"/>
      <c r="M1031" s="81"/>
      <c r="N1031" s="81"/>
      <c r="O1031" s="81"/>
      <c r="P1031" s="81"/>
      <c r="Q1031" s="82"/>
    </row>
    <row r="1032" spans="1:17" x14ac:dyDescent="0.25">
      <c r="A1032" s="79"/>
      <c r="B1032" s="78"/>
      <c r="C1032" s="78"/>
      <c r="D1032" s="78"/>
      <c r="E1032" s="78"/>
      <c r="F1032" s="78"/>
      <c r="G1032" s="80"/>
      <c r="H1032" s="81"/>
      <c r="I1032" s="81"/>
      <c r="J1032" s="81"/>
      <c r="K1032" s="81"/>
      <c r="L1032" s="81"/>
      <c r="M1032" s="81"/>
      <c r="N1032" s="81"/>
      <c r="O1032" s="81"/>
      <c r="P1032" s="81"/>
      <c r="Q1032" s="82"/>
    </row>
    <row r="1033" spans="1:17" x14ac:dyDescent="0.25">
      <c r="A1033" s="79"/>
      <c r="B1033" s="78"/>
      <c r="C1033" s="78"/>
      <c r="D1033" s="78"/>
      <c r="E1033" s="78"/>
      <c r="F1033" s="78"/>
      <c r="G1033" s="80"/>
      <c r="H1033" s="81"/>
      <c r="I1033" s="81"/>
      <c r="J1033" s="81"/>
      <c r="K1033" s="81"/>
      <c r="L1033" s="81"/>
      <c r="M1033" s="81"/>
      <c r="N1033" s="81"/>
      <c r="O1033" s="81"/>
      <c r="P1033" s="81"/>
      <c r="Q1033" s="82"/>
    </row>
    <row r="1034" spans="1:17" x14ac:dyDescent="0.25">
      <c r="A1034" s="79"/>
      <c r="B1034" s="78"/>
      <c r="C1034" s="78"/>
      <c r="D1034" s="78"/>
      <c r="E1034" s="78"/>
      <c r="F1034" s="78"/>
      <c r="G1034" s="80"/>
      <c r="H1034" s="81"/>
      <c r="I1034" s="81"/>
      <c r="J1034" s="81"/>
      <c r="K1034" s="81"/>
      <c r="L1034" s="81"/>
      <c r="M1034" s="81"/>
      <c r="N1034" s="81"/>
      <c r="O1034" s="81"/>
      <c r="P1034" s="81"/>
      <c r="Q1034" s="82"/>
    </row>
    <row r="1035" spans="1:17" x14ac:dyDescent="0.25">
      <c r="A1035" s="79"/>
      <c r="B1035" s="78"/>
      <c r="C1035" s="78"/>
      <c r="D1035" s="78"/>
      <c r="E1035" s="78"/>
      <c r="F1035" s="78"/>
      <c r="G1035" s="83"/>
      <c r="H1035" s="84"/>
      <c r="I1035" s="84"/>
      <c r="J1035" s="84"/>
      <c r="K1035" s="84"/>
      <c r="L1035" s="84"/>
      <c r="M1035" s="84"/>
      <c r="N1035" s="84"/>
      <c r="O1035" s="84"/>
      <c r="P1035" s="84"/>
      <c r="Q1035" s="85"/>
    </row>
    <row r="1036" spans="1:17" x14ac:dyDescent="0.25">
      <c r="A1036" s="78"/>
      <c r="B1036" s="78"/>
      <c r="C1036" s="78"/>
      <c r="D1036" s="78"/>
      <c r="E1036" s="78"/>
      <c r="F1036" s="78"/>
      <c r="G1036" s="78"/>
      <c r="H1036" s="78"/>
      <c r="I1036" s="78"/>
      <c r="J1036" s="78"/>
      <c r="K1036" s="78"/>
      <c r="L1036" s="78"/>
      <c r="M1036" s="78"/>
      <c r="N1036" s="78"/>
      <c r="O1036" s="78"/>
      <c r="P1036" s="78"/>
      <c r="Q1036" s="78"/>
    </row>
    <row r="1037" spans="1:17" x14ac:dyDescent="0.25">
      <c r="A1037" s="78"/>
      <c r="B1037" s="78"/>
      <c r="C1037" s="78"/>
      <c r="D1037" s="78"/>
      <c r="E1037" s="78"/>
      <c r="F1037" s="78"/>
      <c r="G1037" s="78"/>
      <c r="H1037" s="78"/>
      <c r="I1037" s="78"/>
      <c r="J1037" s="78"/>
      <c r="K1037" s="78"/>
      <c r="L1037" s="78"/>
      <c r="M1037" s="78"/>
      <c r="N1037" s="78"/>
      <c r="O1037" s="78"/>
      <c r="P1037" s="78"/>
      <c r="Q1037" s="78"/>
    </row>
    <row r="1038" spans="1:17" x14ac:dyDescent="0.25">
      <c r="A1038" s="79"/>
      <c r="B1038" s="78"/>
      <c r="C1038" s="78"/>
      <c r="D1038" s="78"/>
      <c r="E1038" s="78"/>
      <c r="F1038" s="78"/>
      <c r="G1038" s="80"/>
      <c r="H1038" s="81"/>
      <c r="I1038" s="81"/>
      <c r="J1038" s="81"/>
      <c r="K1038" s="81"/>
      <c r="L1038" s="81"/>
      <c r="M1038" s="81"/>
      <c r="N1038" s="81"/>
      <c r="O1038" s="81"/>
      <c r="P1038" s="81"/>
      <c r="Q1038" s="82"/>
    </row>
    <row r="1039" spans="1:17" x14ac:dyDescent="0.25">
      <c r="A1039" s="79"/>
      <c r="B1039" s="78"/>
      <c r="C1039" s="78"/>
      <c r="D1039" s="78"/>
      <c r="E1039" s="78"/>
      <c r="F1039" s="78"/>
      <c r="G1039" s="80"/>
      <c r="H1039" s="81"/>
      <c r="I1039" s="81"/>
      <c r="J1039" s="81"/>
      <c r="K1039" s="81"/>
      <c r="L1039" s="81"/>
      <c r="M1039" s="81"/>
      <c r="N1039" s="81"/>
      <c r="O1039" s="81"/>
      <c r="P1039" s="81"/>
      <c r="Q1039" s="82"/>
    </row>
    <row r="1040" spans="1:17" x14ac:dyDescent="0.25">
      <c r="A1040" s="79"/>
      <c r="B1040" s="78"/>
      <c r="C1040" s="78"/>
      <c r="D1040" s="78"/>
      <c r="E1040" s="78"/>
      <c r="F1040" s="78"/>
      <c r="G1040" s="80"/>
      <c r="H1040" s="81"/>
      <c r="I1040" s="81"/>
      <c r="J1040" s="81"/>
      <c r="K1040" s="81"/>
      <c r="L1040" s="81"/>
      <c r="M1040" s="81"/>
      <c r="N1040" s="81"/>
      <c r="O1040" s="81"/>
      <c r="P1040" s="81"/>
      <c r="Q1040" s="82"/>
    </row>
    <row r="1041" spans="1:17" x14ac:dyDescent="0.25">
      <c r="A1041" s="79"/>
      <c r="B1041" s="78"/>
      <c r="C1041" s="78"/>
      <c r="D1041" s="78"/>
      <c r="E1041" s="78"/>
      <c r="F1041" s="78"/>
      <c r="G1041" s="80"/>
      <c r="H1041" s="81"/>
      <c r="I1041" s="81"/>
      <c r="J1041" s="81"/>
      <c r="K1041" s="81"/>
      <c r="L1041" s="81"/>
      <c r="M1041" s="81"/>
      <c r="N1041" s="81"/>
      <c r="O1041" s="81"/>
      <c r="P1041" s="81"/>
      <c r="Q1041" s="82"/>
    </row>
    <row r="1042" spans="1:17" x14ac:dyDescent="0.25">
      <c r="A1042" s="79"/>
      <c r="B1042" s="78"/>
      <c r="C1042" s="78"/>
      <c r="D1042" s="78"/>
      <c r="E1042" s="78"/>
      <c r="F1042" s="78"/>
      <c r="G1042" s="80"/>
      <c r="H1042" s="81"/>
      <c r="I1042" s="81"/>
      <c r="J1042" s="81"/>
      <c r="K1042" s="81"/>
      <c r="L1042" s="81"/>
      <c r="M1042" s="81"/>
      <c r="N1042" s="81"/>
      <c r="O1042" s="81"/>
      <c r="P1042" s="81"/>
      <c r="Q1042" s="82"/>
    </row>
    <row r="1043" spans="1:17" x14ac:dyDescent="0.25">
      <c r="A1043" s="79"/>
      <c r="B1043" s="78"/>
      <c r="C1043" s="78"/>
      <c r="D1043" s="78"/>
      <c r="E1043" s="78"/>
      <c r="F1043" s="78"/>
      <c r="G1043" s="83"/>
      <c r="H1043" s="84"/>
      <c r="I1043" s="84"/>
      <c r="J1043" s="84"/>
      <c r="K1043" s="84"/>
      <c r="L1043" s="84"/>
      <c r="M1043" s="84"/>
      <c r="N1043" s="84"/>
      <c r="O1043" s="84"/>
      <c r="P1043" s="84"/>
      <c r="Q1043" s="85"/>
    </row>
    <row r="1094" spans="1:6" x14ac:dyDescent="0.25">
      <c r="A1094" s="90"/>
      <c r="B1094" s="90"/>
      <c r="C1094" s="90"/>
      <c r="D1094" s="90"/>
      <c r="E1094" s="90"/>
      <c r="F1094" s="90"/>
    </row>
    <row r="1095" spans="1:6" x14ac:dyDescent="0.25">
      <c r="A1095" s="90"/>
      <c r="B1095" s="90"/>
      <c r="C1095" s="90"/>
      <c r="D1095" s="90"/>
      <c r="E1095" s="90"/>
      <c r="F1095" s="90"/>
    </row>
    <row r="1096" spans="1:6" ht="36" x14ac:dyDescent="0.25">
      <c r="A1096" s="90"/>
      <c r="B1096" s="91"/>
      <c r="C1096" s="91"/>
      <c r="D1096" s="91"/>
      <c r="E1096" s="91"/>
      <c r="F1096" s="90"/>
    </row>
    <row r="1097" spans="1:6" x14ac:dyDescent="0.25">
      <c r="A1097" s="90"/>
      <c r="B1097" s="92"/>
      <c r="C1097" s="92"/>
      <c r="D1097" s="92"/>
      <c r="E1097" s="92"/>
      <c r="F1097" s="90"/>
    </row>
    <row r="1098" spans="1:6" x14ac:dyDescent="0.25">
      <c r="A1098" s="90"/>
      <c r="B1098" s="93"/>
      <c r="C1098" s="93"/>
      <c r="D1098" s="93"/>
      <c r="E1098" s="93"/>
      <c r="F1098" s="90"/>
    </row>
    <row r="1099" spans="1:6" x14ac:dyDescent="0.25">
      <c r="A1099" s="90"/>
      <c r="B1099" s="90"/>
      <c r="C1099" s="90"/>
      <c r="D1099" s="90"/>
      <c r="E1099" s="90"/>
      <c r="F1099" s="90"/>
    </row>
    <row r="1100" spans="1:6" x14ac:dyDescent="0.25">
      <c r="A1100" s="94"/>
      <c r="B1100" s="94"/>
      <c r="C1100" s="94"/>
      <c r="D1100" s="94"/>
    </row>
    <row r="1101" spans="1:6" x14ac:dyDescent="0.25">
      <c r="A1101" s="95"/>
      <c r="B1101" s="96"/>
    </row>
    <row r="1102" spans="1:6" x14ac:dyDescent="0.25">
      <c r="A1102" s="94"/>
      <c r="B1102" s="94"/>
      <c r="C1102" s="94"/>
      <c r="D1102" s="94"/>
    </row>
    <row r="1103" spans="1:6" x14ac:dyDescent="0.25">
      <c r="A1103" s="94"/>
      <c r="B1103" s="94"/>
      <c r="C1103" s="94"/>
      <c r="D1103" s="94"/>
    </row>
    <row r="1104" spans="1:6" x14ac:dyDescent="0.25">
      <c r="A1104" s="94"/>
      <c r="B1104" s="94"/>
      <c r="C1104" s="94"/>
      <c r="D1104" s="94"/>
    </row>
    <row r="1105" spans="1:17" x14ac:dyDescent="0.25">
      <c r="A1105" s="94"/>
      <c r="B1105" s="94"/>
      <c r="C1105" s="94"/>
      <c r="D1105" s="94"/>
    </row>
    <row r="1106" spans="1:17" x14ac:dyDescent="0.25">
      <c r="A1106" s="94"/>
      <c r="B1106" s="94"/>
      <c r="C1106" s="94"/>
      <c r="D1106" s="94"/>
    </row>
    <row r="1107" spans="1:17" ht="18.75" x14ac:dyDescent="0.3">
      <c r="A1107" s="5"/>
      <c r="B1107" s="5"/>
      <c r="C1107" s="5"/>
      <c r="D1107" s="5"/>
      <c r="E1107" s="5"/>
      <c r="F1107" s="5"/>
    </row>
    <row r="1108" spans="1:17" x14ac:dyDescent="0.25">
      <c r="A1108" s="8"/>
      <c r="B1108" s="8"/>
      <c r="C1108" s="8"/>
      <c r="D1108" s="8"/>
      <c r="E1108" s="8"/>
      <c r="F1108" s="8"/>
    </row>
    <row r="1109" spans="1:17" x14ac:dyDescent="0.25">
      <c r="A1109" s="2"/>
      <c r="B1109" s="2"/>
      <c r="C1109" s="2"/>
      <c r="D1109" s="2"/>
      <c r="E1109" s="2"/>
      <c r="F1109" s="2"/>
    </row>
    <row r="1110" spans="1:17" x14ac:dyDescent="0.25">
      <c r="A1110" s="67"/>
      <c r="B1110" s="66"/>
      <c r="C1110" s="66"/>
      <c r="D1110" s="66"/>
      <c r="E1110" s="66"/>
      <c r="F1110" s="66"/>
    </row>
    <row r="1111" spans="1:17" x14ac:dyDescent="0.25">
      <c r="A1111" s="2"/>
      <c r="B1111" s="2"/>
      <c r="C1111" s="2"/>
      <c r="D1111" s="2"/>
      <c r="E1111" s="2"/>
      <c r="F1111" s="2"/>
    </row>
    <row r="1112" spans="1:17" x14ac:dyDescent="0.25">
      <c r="A1112" s="8"/>
      <c r="B1112" s="8"/>
      <c r="C1112" s="8"/>
      <c r="D1112" s="8"/>
      <c r="E1112" s="8"/>
      <c r="F1112" s="8"/>
    </row>
    <row r="1113" spans="1:17" ht="21" x14ac:dyDescent="0.25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</row>
    <row r="1114" spans="1:17" x14ac:dyDescent="0.25">
      <c r="A1114" s="7"/>
    </row>
    <row r="1115" spans="1:17" x14ac:dyDescent="0.25">
      <c r="A1115" s="8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</row>
    <row r="1116" spans="1:17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</row>
    <row r="1117" spans="1:17" x14ac:dyDescent="0.25">
      <c r="A1117" s="7"/>
    </row>
    <row r="1118" spans="1:17" ht="16.5" thickBot="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</row>
    <row r="1119" spans="1:17" x14ac:dyDescent="0.25">
      <c r="A1119" s="11"/>
      <c r="B1119" s="11"/>
      <c r="C1119" s="11"/>
      <c r="D1119" s="11"/>
      <c r="E1119" s="11"/>
      <c r="F1119" s="38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</row>
    <row r="1120" spans="1:17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</row>
    <row r="1121" spans="1:17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</row>
    <row r="1122" spans="1:17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</row>
    <row r="1123" spans="1:17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</row>
    <row r="1124" spans="1:17" x14ac:dyDescent="0.2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</row>
    <row r="1125" spans="1:17" ht="18.75" x14ac:dyDescent="0.3">
      <c r="A1125" s="89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</row>
    <row r="1126" spans="1:17" x14ac:dyDescent="0.25">
      <c r="A1126" s="77"/>
      <c r="B1126" s="77"/>
    </row>
    <row r="1127" spans="1:17" x14ac:dyDescent="0.25">
      <c r="A1127" s="8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</row>
    <row r="1128" spans="1:17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</row>
    <row r="1129" spans="1:17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</row>
    <row r="1130" spans="1:17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spans="1:17" ht="21" x14ac:dyDescent="0.25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</row>
    <row r="1132" spans="1:17" x14ac:dyDescent="0.25">
      <c r="A1132" s="76"/>
      <c r="B1132" s="76"/>
    </row>
    <row r="1133" spans="1:17" x14ac:dyDescent="0.25">
      <c r="A1133" s="8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</row>
    <row r="1134" spans="1:17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</row>
    <row r="1135" spans="1:17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</row>
    <row r="1136" spans="1:17" ht="16.5" thickBot="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</row>
    <row r="1137" spans="1:17" x14ac:dyDescent="0.25">
      <c r="A1137" s="11"/>
      <c r="B1137" s="11"/>
      <c r="C1137" s="11"/>
      <c r="D1137" s="11"/>
      <c r="E1137" s="11"/>
      <c r="F1137" s="11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</row>
    <row r="1138" spans="1:17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</row>
    <row r="1139" spans="1:17" ht="16.5" thickBot="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</row>
    <row r="1140" spans="1:17" x14ac:dyDescent="0.25">
      <c r="A1140" s="11"/>
      <c r="B1140" s="11"/>
      <c r="C1140" s="11"/>
      <c r="D1140" s="11"/>
      <c r="E1140" s="11"/>
      <c r="F1140" s="12"/>
    </row>
    <row r="1141" spans="1:17" ht="21" x14ac:dyDescent="0.25">
      <c r="A1141" s="18"/>
      <c r="B1141" s="18"/>
      <c r="C1141" s="18"/>
      <c r="D1141" s="18"/>
      <c r="E1141" s="18"/>
      <c r="F1141" s="18"/>
      <c r="G1141" s="18"/>
      <c r="H1141" s="18"/>
    </row>
    <row r="1142" spans="1:17" x14ac:dyDescent="0.25">
      <c r="A1142" s="77"/>
      <c r="B1142" s="77"/>
    </row>
    <row r="1143" spans="1:17" ht="16.5" thickBot="1" x14ac:dyDescent="0.3">
      <c r="A1143" s="2"/>
      <c r="B1143" s="2"/>
      <c r="C1143" s="2"/>
      <c r="D1143" s="2"/>
      <c r="E1143" s="2"/>
      <c r="F1143" s="2"/>
      <c r="G1143" s="2"/>
      <c r="H1143" s="2"/>
    </row>
    <row r="1144" spans="1:17" x14ac:dyDescent="0.25">
      <c r="A1144" s="8"/>
      <c r="B1144" s="59"/>
      <c r="C1144" s="58"/>
      <c r="D1144" s="58"/>
      <c r="E1144" s="58"/>
      <c r="F1144" s="58"/>
      <c r="G1144" s="58"/>
      <c r="H1144" s="60"/>
    </row>
    <row r="1145" spans="1:17" ht="16.5" thickBot="1" x14ac:dyDescent="0.3">
      <c r="A1145" s="2"/>
      <c r="B1145" s="2"/>
      <c r="C1145" s="2"/>
      <c r="D1145" s="2"/>
      <c r="E1145" s="2"/>
      <c r="F1145" s="2"/>
      <c r="G1145" s="2"/>
      <c r="H1145" s="2"/>
    </row>
    <row r="1146" spans="1:17" x14ac:dyDescent="0.25">
      <c r="A1146" s="8"/>
      <c r="B1146" s="59"/>
      <c r="C1146" s="58"/>
      <c r="D1146" s="58"/>
      <c r="E1146" s="58"/>
      <c r="F1146" s="58"/>
      <c r="G1146" s="58"/>
      <c r="H1146" s="60"/>
    </row>
    <row r="1147" spans="1:17" x14ac:dyDescent="0.25">
      <c r="A1147" s="2"/>
      <c r="B1147" s="2"/>
      <c r="C1147" s="2"/>
      <c r="D1147" s="2"/>
      <c r="E1147" s="2"/>
      <c r="F1147" s="2"/>
      <c r="G1147" s="2"/>
      <c r="H1147" s="2"/>
    </row>
    <row r="1148" spans="1:17" ht="21" x14ac:dyDescent="0.25">
      <c r="A1148" s="22"/>
      <c r="B1148" s="22"/>
      <c r="C1148" s="22"/>
      <c r="D1148" s="22"/>
      <c r="E1148" s="22"/>
      <c r="F1148" s="22"/>
    </row>
    <row r="1149" spans="1:17" x14ac:dyDescent="0.25">
      <c r="A1149" s="24"/>
      <c r="B1149" s="25"/>
      <c r="C1149" s="25"/>
      <c r="D1149" s="25"/>
      <c r="E1149" s="25"/>
      <c r="F1149" s="25"/>
    </row>
    <row r="1150" spans="1:17" ht="16.5" thickBot="1" x14ac:dyDescent="0.3">
      <c r="A1150" s="21"/>
      <c r="B1150" s="21"/>
      <c r="C1150" s="21"/>
      <c r="D1150" s="21"/>
      <c r="E1150" s="21"/>
      <c r="F1150" s="21"/>
    </row>
    <row r="1151" spans="1:17" x14ac:dyDescent="0.25">
      <c r="A1151" s="27"/>
      <c r="B1151" s="27"/>
      <c r="C1151" s="27"/>
      <c r="D1151" s="27"/>
      <c r="E1151" s="27"/>
      <c r="F1151" s="27"/>
    </row>
    <row r="1152" spans="1:17" ht="16.5" thickBot="1" x14ac:dyDescent="0.3">
      <c r="A1152" s="21"/>
      <c r="B1152" s="21"/>
      <c r="C1152" s="21"/>
      <c r="D1152" s="21"/>
      <c r="E1152" s="21"/>
      <c r="F1152" s="21"/>
    </row>
    <row r="1153" spans="1:6" x14ac:dyDescent="0.25">
      <c r="A1153" s="27"/>
      <c r="B1153" s="27"/>
      <c r="C1153" s="27"/>
      <c r="D1153" s="27"/>
      <c r="E1153" s="27"/>
      <c r="F1153" s="27"/>
    </row>
    <row r="1154" spans="1:6" ht="21" x14ac:dyDescent="0.25">
      <c r="A1154" s="22"/>
      <c r="B1154" s="21"/>
      <c r="C1154" s="21"/>
      <c r="D1154" s="21"/>
      <c r="E1154" s="21"/>
      <c r="F1154" s="21"/>
    </row>
    <row r="1155" spans="1:6" x14ac:dyDescent="0.25">
      <c r="A1155" s="24"/>
      <c r="B1155" s="25"/>
      <c r="C1155" s="25"/>
      <c r="D1155" s="25"/>
      <c r="E1155" s="25"/>
      <c r="F1155" s="25"/>
    </row>
    <row r="1156" spans="1:6" x14ac:dyDescent="0.25">
      <c r="A1156" s="21"/>
      <c r="B1156" s="21"/>
      <c r="C1156" s="21"/>
      <c r="D1156" s="21"/>
      <c r="E1156" s="21"/>
      <c r="F1156" s="21"/>
    </row>
    <row r="1157" spans="1:6" ht="16.5" thickBot="1" x14ac:dyDescent="0.3">
      <c r="A1157" s="21"/>
      <c r="B1157" s="21"/>
      <c r="C1157" s="21"/>
      <c r="D1157" s="21"/>
      <c r="E1157" s="21"/>
      <c r="F1157" s="21"/>
    </row>
    <row r="1158" spans="1:6" ht="16.5" thickBot="1" x14ac:dyDescent="0.3">
      <c r="A1158" s="27"/>
      <c r="B1158" s="27"/>
      <c r="C1158" s="27"/>
      <c r="D1158" s="27"/>
      <c r="E1158" s="27"/>
      <c r="F1158" s="27"/>
    </row>
    <row r="1159" spans="1:6" x14ac:dyDescent="0.25">
      <c r="A1159" s="27"/>
      <c r="B1159" s="27"/>
      <c r="C1159" s="27"/>
      <c r="D1159" s="27"/>
      <c r="E1159" s="27"/>
      <c r="F1159" s="27"/>
    </row>
    <row r="1160" spans="1:6" ht="21" x14ac:dyDescent="0.25">
      <c r="A1160" s="22"/>
      <c r="B1160" s="21"/>
      <c r="C1160" s="21"/>
      <c r="D1160" s="21"/>
      <c r="E1160" s="21"/>
      <c r="F1160" s="21"/>
    </row>
    <row r="1161" spans="1:6" x14ac:dyDescent="0.25">
      <c r="A1161" s="24"/>
      <c r="B1161" s="25"/>
      <c r="C1161" s="25"/>
      <c r="D1161" s="25"/>
      <c r="E1161" s="25"/>
      <c r="F1161" s="25"/>
    </row>
    <row r="1162" spans="1:6" ht="16.5" thickBot="1" x14ac:dyDescent="0.3">
      <c r="A1162" s="21"/>
      <c r="B1162" s="21"/>
      <c r="C1162" s="21"/>
      <c r="D1162" s="21"/>
      <c r="E1162" s="21"/>
      <c r="F1162" s="21"/>
    </row>
    <row r="1163" spans="1:6" x14ac:dyDescent="0.25">
      <c r="A1163" s="27"/>
      <c r="B1163" s="27"/>
      <c r="C1163" s="27"/>
      <c r="D1163" s="27"/>
      <c r="E1163" s="27"/>
      <c r="F1163" s="27"/>
    </row>
    <row r="1164" spans="1:6" x14ac:dyDescent="0.25">
      <c r="A1164" s="21"/>
      <c r="B1164" s="21"/>
      <c r="C1164" s="21"/>
      <c r="D1164" s="21"/>
      <c r="E1164" s="21"/>
      <c r="F1164" s="21"/>
    </row>
    <row r="1165" spans="1:6" x14ac:dyDescent="0.25">
      <c r="A1165" s="21"/>
      <c r="B1165" s="21"/>
      <c r="C1165" s="21"/>
      <c r="D1165" s="21"/>
      <c r="E1165" s="21"/>
      <c r="F1165" s="21"/>
    </row>
    <row r="1166" spans="1:6" ht="16.5" thickBot="1" x14ac:dyDescent="0.3">
      <c r="A1166" s="21"/>
      <c r="B1166" s="21"/>
      <c r="C1166" s="21"/>
      <c r="D1166" s="21"/>
      <c r="E1166" s="21"/>
      <c r="F1166" s="21"/>
    </row>
    <row r="1167" spans="1:6" x14ac:dyDescent="0.25">
      <c r="A1167" s="27"/>
      <c r="B1167" s="27"/>
      <c r="C1167" s="27"/>
      <c r="D1167" s="27"/>
      <c r="E1167" s="27"/>
      <c r="F1167" s="27"/>
    </row>
    <row r="1168" spans="1:6" ht="21" x14ac:dyDescent="0.25">
      <c r="A1168" s="22"/>
      <c r="B1168" s="21"/>
      <c r="C1168" s="21"/>
      <c r="D1168" s="21"/>
      <c r="E1168" s="21"/>
      <c r="F1168" s="21"/>
    </row>
    <row r="1169" spans="1:6" x14ac:dyDescent="0.25">
      <c r="A1169" s="24"/>
      <c r="B1169" s="25"/>
      <c r="C1169" s="25"/>
      <c r="D1169" s="25"/>
      <c r="E1169" s="25"/>
      <c r="F1169" s="25"/>
    </row>
    <row r="1170" spans="1:6" x14ac:dyDescent="0.25">
      <c r="A1170" s="21"/>
      <c r="B1170" s="21"/>
      <c r="C1170" s="21"/>
      <c r="D1170" s="21"/>
      <c r="E1170" s="21"/>
      <c r="F1170" s="21"/>
    </row>
    <row r="1171" spans="1:6" x14ac:dyDescent="0.25">
      <c r="A1171" s="21"/>
      <c r="B1171" s="21"/>
      <c r="C1171" s="21"/>
      <c r="D1171" s="21"/>
      <c r="E1171" s="21"/>
      <c r="F1171" s="21"/>
    </row>
    <row r="1172" spans="1:6" ht="16.5" thickBot="1" x14ac:dyDescent="0.3">
      <c r="A1172" s="21"/>
      <c r="B1172" s="21"/>
      <c r="C1172" s="21"/>
      <c r="D1172" s="21"/>
      <c r="E1172" s="21"/>
      <c r="F1172" s="21"/>
    </row>
    <row r="1173" spans="1:6" x14ac:dyDescent="0.25">
      <c r="A1173" s="27"/>
      <c r="B1173" s="27"/>
      <c r="C1173" s="27"/>
      <c r="D1173" s="27"/>
      <c r="E1173" s="27"/>
      <c r="F1173" s="27"/>
    </row>
    <row r="1174" spans="1:6" x14ac:dyDescent="0.25">
      <c r="A1174" s="21"/>
      <c r="B1174" s="21"/>
      <c r="C1174" s="21"/>
      <c r="D1174" s="21"/>
      <c r="E1174" s="21"/>
      <c r="F1174" s="21"/>
    </row>
    <row r="1175" spans="1:6" x14ac:dyDescent="0.25">
      <c r="A1175" s="97"/>
      <c r="B1175" s="97"/>
      <c r="C1175" s="97"/>
      <c r="D1175" s="97"/>
      <c r="E1175" s="97"/>
      <c r="F1175" s="97"/>
    </row>
    <row r="1176" spans="1:6" x14ac:dyDescent="0.25">
      <c r="A1176" s="97"/>
      <c r="B1176" s="97"/>
      <c r="C1176" s="97"/>
      <c r="D1176" s="97"/>
      <c r="E1176" s="97"/>
      <c r="F1176" s="97"/>
    </row>
    <row r="1177" spans="1:6" ht="36" x14ac:dyDescent="0.25">
      <c r="A1177" s="97"/>
      <c r="B1177" s="98"/>
      <c r="C1177" s="98"/>
      <c r="D1177" s="98"/>
      <c r="E1177" s="98"/>
      <c r="F1177" s="97"/>
    </row>
    <row r="1178" spans="1:6" x14ac:dyDescent="0.25">
      <c r="A1178" s="97"/>
      <c r="B1178" s="103"/>
      <c r="C1178" s="103"/>
      <c r="D1178" s="103"/>
      <c r="E1178" s="103"/>
      <c r="F1178" s="97"/>
    </row>
    <row r="1179" spans="1:6" x14ac:dyDescent="0.25">
      <c r="A1179" s="97"/>
      <c r="B1179" s="99"/>
      <c r="C1179" s="99"/>
      <c r="D1179" s="99"/>
      <c r="E1179" s="99"/>
      <c r="F1179" s="97"/>
    </row>
    <row r="1180" spans="1:6" x14ac:dyDescent="0.25">
      <c r="A1180" s="97"/>
      <c r="B1180" s="97"/>
      <c r="C1180" s="97"/>
      <c r="D1180" s="97"/>
      <c r="E1180" s="97"/>
      <c r="F1180" s="97"/>
    </row>
    <row r="1181" spans="1:6" x14ac:dyDescent="0.25">
      <c r="A1181" s="100"/>
      <c r="B1181" s="100"/>
      <c r="C1181" s="100"/>
      <c r="D1181" s="100"/>
    </row>
    <row r="1182" spans="1:6" x14ac:dyDescent="0.25">
      <c r="A1182" s="101"/>
      <c r="B1182" s="102"/>
    </row>
    <row r="1183" spans="1:6" x14ac:dyDescent="0.25">
      <c r="A1183" s="100"/>
      <c r="B1183" s="100"/>
      <c r="C1183" s="100"/>
      <c r="D1183" s="100"/>
    </row>
    <row r="1184" spans="1:6" x14ac:dyDescent="0.25">
      <c r="A1184" s="100"/>
      <c r="B1184" s="100"/>
      <c r="C1184" s="100"/>
      <c r="D1184" s="100"/>
    </row>
    <row r="1185" spans="1:17" x14ac:dyDescent="0.25">
      <c r="A1185" s="100"/>
      <c r="B1185" s="100"/>
      <c r="C1185" s="100"/>
      <c r="D1185" s="100"/>
    </row>
    <row r="1186" spans="1:17" x14ac:dyDescent="0.25">
      <c r="A1186" s="100"/>
      <c r="B1186" s="100"/>
      <c r="C1186" s="100"/>
      <c r="D1186" s="100"/>
    </row>
    <row r="1187" spans="1:17" x14ac:dyDescent="0.25">
      <c r="A1187" s="100"/>
      <c r="B1187" s="100"/>
      <c r="C1187" s="100"/>
      <c r="D1187" s="100"/>
    </row>
    <row r="1188" spans="1:17" ht="18.75" x14ac:dyDescent="0.3">
      <c r="A1188" s="104"/>
      <c r="B1188" s="104"/>
      <c r="C1188" s="104"/>
      <c r="D1188" s="104"/>
      <c r="E1188" s="104"/>
      <c r="F1188" s="104"/>
    </row>
    <row r="1189" spans="1:17" x14ac:dyDescent="0.25">
      <c r="A1189" s="106"/>
      <c r="B1189" s="106"/>
      <c r="C1189" s="106"/>
      <c r="D1189" s="106"/>
      <c r="E1189" s="106"/>
      <c r="F1189" s="106"/>
    </row>
    <row r="1190" spans="1:17" x14ac:dyDescent="0.25">
      <c r="A1190" s="105"/>
      <c r="B1190" s="105"/>
      <c r="C1190" s="105"/>
      <c r="D1190" s="105"/>
      <c r="E1190" s="105"/>
      <c r="F1190" s="105"/>
    </row>
    <row r="1191" spans="1:17" x14ac:dyDescent="0.25">
      <c r="A1191" s="107"/>
      <c r="B1191" s="108"/>
      <c r="C1191" s="108"/>
      <c r="D1191" s="108"/>
      <c r="E1191" s="108"/>
      <c r="F1191" s="108"/>
    </row>
    <row r="1192" spans="1:17" x14ac:dyDescent="0.25">
      <c r="A1192" s="105"/>
      <c r="B1192" s="105"/>
      <c r="C1192" s="105"/>
      <c r="D1192" s="105"/>
      <c r="E1192" s="105"/>
      <c r="F1192" s="105"/>
    </row>
    <row r="1193" spans="1:17" x14ac:dyDescent="0.25">
      <c r="A1193" s="106"/>
      <c r="B1193" s="106"/>
      <c r="C1193" s="106"/>
      <c r="D1193" s="106"/>
      <c r="E1193" s="106"/>
      <c r="F1193" s="106"/>
    </row>
    <row r="1194" spans="1:17" ht="21" x14ac:dyDescent="0.25">
      <c r="A1194" s="109"/>
      <c r="B1194" s="109"/>
      <c r="C1194" s="109"/>
      <c r="D1194" s="109"/>
      <c r="E1194" s="109"/>
      <c r="F1194" s="109"/>
      <c r="G1194" s="109"/>
      <c r="H1194" s="109"/>
      <c r="I1194" s="109"/>
      <c r="J1194" s="109"/>
      <c r="K1194" s="109"/>
      <c r="L1194" s="109"/>
      <c r="M1194" s="109"/>
      <c r="N1194" s="109"/>
      <c r="O1194" s="109"/>
      <c r="P1194" s="109"/>
      <c r="Q1194" s="109"/>
    </row>
    <row r="1195" spans="1:17" x14ac:dyDescent="0.25">
      <c r="A1195" s="112"/>
    </row>
    <row r="1196" spans="1:17" x14ac:dyDescent="0.25">
      <c r="A1196" s="106"/>
      <c r="B1196" s="112"/>
      <c r="C1196" s="112"/>
      <c r="D1196" s="112"/>
      <c r="E1196" s="112"/>
      <c r="F1196" s="112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</row>
    <row r="1197" spans="1:17" x14ac:dyDescent="0.25">
      <c r="A1197" s="105"/>
      <c r="B1197" s="105"/>
      <c r="C1197" s="105"/>
      <c r="D1197" s="105"/>
      <c r="E1197" s="105"/>
      <c r="F1197" s="105"/>
      <c r="G1197" s="105"/>
      <c r="H1197" s="105"/>
      <c r="I1197" s="105"/>
      <c r="J1197" s="105"/>
      <c r="K1197" s="105"/>
      <c r="L1197" s="105"/>
      <c r="M1197" s="105"/>
      <c r="N1197" s="105"/>
      <c r="O1197" s="105"/>
      <c r="P1197" s="105"/>
      <c r="Q1197" s="105"/>
    </row>
    <row r="1198" spans="1:17" x14ac:dyDescent="0.25">
      <c r="A1198" s="112"/>
    </row>
    <row r="1199" spans="1:17" ht="16.5" thickBot="1" x14ac:dyDescent="0.3">
      <c r="A1199" s="105"/>
      <c r="B1199" s="105"/>
      <c r="C1199" s="105"/>
      <c r="D1199" s="105"/>
      <c r="E1199" s="105"/>
      <c r="F1199" s="105"/>
      <c r="G1199" s="105"/>
      <c r="H1199" s="105"/>
      <c r="I1199" s="105"/>
      <c r="J1199" s="105"/>
      <c r="K1199" s="105"/>
      <c r="L1199" s="105"/>
      <c r="M1199" s="105"/>
      <c r="N1199" s="105"/>
      <c r="O1199" s="105"/>
      <c r="P1199" s="105"/>
      <c r="Q1199" s="105"/>
    </row>
    <row r="1200" spans="1:17" x14ac:dyDescent="0.25">
      <c r="A1200" s="110"/>
      <c r="B1200" s="110"/>
      <c r="C1200" s="110"/>
      <c r="D1200" s="110"/>
      <c r="E1200" s="110"/>
      <c r="F1200" s="111"/>
      <c r="G1200" s="110"/>
      <c r="H1200" s="110"/>
      <c r="I1200" s="110"/>
      <c r="J1200" s="110"/>
      <c r="K1200" s="110"/>
      <c r="L1200" s="110"/>
      <c r="M1200" s="110"/>
      <c r="N1200" s="110"/>
      <c r="O1200" s="110"/>
      <c r="P1200" s="110"/>
      <c r="Q1200" s="110"/>
    </row>
    <row r="1201" spans="1:17" x14ac:dyDescent="0.25">
      <c r="A1201" s="105"/>
      <c r="B1201" s="105"/>
      <c r="C1201" s="105"/>
      <c r="D1201" s="105"/>
      <c r="E1201" s="105"/>
      <c r="F1201" s="105"/>
      <c r="G1201" s="105"/>
      <c r="H1201" s="105"/>
      <c r="I1201" s="105"/>
      <c r="J1201" s="105"/>
      <c r="K1201" s="105"/>
      <c r="L1201" s="105"/>
      <c r="M1201" s="105"/>
      <c r="N1201" s="105"/>
      <c r="O1201" s="105"/>
      <c r="P1201" s="105"/>
      <c r="Q1201" s="105"/>
    </row>
    <row r="1202" spans="1:17" x14ac:dyDescent="0.25">
      <c r="A1202" s="105"/>
      <c r="B1202" s="105"/>
      <c r="C1202" s="105"/>
      <c r="D1202" s="105"/>
      <c r="E1202" s="105"/>
      <c r="F1202" s="105"/>
      <c r="G1202" s="105"/>
      <c r="H1202" s="105"/>
      <c r="I1202" s="105"/>
      <c r="J1202" s="105"/>
      <c r="K1202" s="105"/>
      <c r="L1202" s="105"/>
      <c r="M1202" s="105"/>
      <c r="N1202" s="105"/>
      <c r="O1202" s="105"/>
      <c r="P1202" s="105"/>
      <c r="Q1202" s="105"/>
    </row>
    <row r="1203" spans="1:17" x14ac:dyDescent="0.25">
      <c r="A1203" s="105"/>
      <c r="B1203" s="105"/>
      <c r="C1203" s="105"/>
      <c r="D1203" s="105"/>
      <c r="E1203" s="105"/>
      <c r="F1203" s="105"/>
      <c r="G1203" s="105"/>
      <c r="H1203" s="105"/>
      <c r="I1203" s="105"/>
      <c r="J1203" s="105"/>
      <c r="K1203" s="105"/>
      <c r="L1203" s="105"/>
      <c r="M1203" s="105"/>
      <c r="N1203" s="105"/>
      <c r="O1203" s="105"/>
      <c r="P1203" s="105"/>
      <c r="Q1203" s="105"/>
    </row>
    <row r="1204" spans="1:17" x14ac:dyDescent="0.25">
      <c r="A1204" s="105"/>
      <c r="B1204" s="105"/>
      <c r="C1204" s="105"/>
      <c r="D1204" s="105"/>
      <c r="E1204" s="105"/>
      <c r="F1204" s="105"/>
      <c r="G1204" s="105"/>
      <c r="H1204" s="105"/>
      <c r="I1204" s="105"/>
      <c r="J1204" s="105"/>
      <c r="K1204" s="105"/>
      <c r="L1204" s="105"/>
      <c r="M1204" s="105"/>
      <c r="N1204" s="105"/>
      <c r="O1204" s="105"/>
      <c r="P1204" s="105"/>
      <c r="Q1204" s="105"/>
    </row>
    <row r="1205" spans="1:17" x14ac:dyDescent="0.2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</row>
    <row r="1206" spans="1:17" ht="18.75" x14ac:dyDescent="0.3">
      <c r="A1206" s="113"/>
      <c r="B1206" s="104"/>
      <c r="C1206" s="104"/>
      <c r="D1206" s="104"/>
      <c r="E1206" s="104"/>
      <c r="F1206" s="104"/>
      <c r="G1206" s="104"/>
      <c r="H1206" s="104"/>
      <c r="I1206" s="104"/>
      <c r="J1206" s="104"/>
      <c r="K1206" s="104"/>
      <c r="L1206" s="104"/>
      <c r="M1206" s="104"/>
      <c r="N1206" s="104"/>
    </row>
    <row r="1207" spans="1:17" x14ac:dyDescent="0.25">
      <c r="A1207" s="114"/>
      <c r="B1207" s="114"/>
    </row>
    <row r="1208" spans="1:17" x14ac:dyDescent="0.25">
      <c r="A1208" s="106"/>
      <c r="B1208" s="112"/>
      <c r="C1208" s="112"/>
      <c r="D1208" s="112"/>
      <c r="E1208" s="112"/>
      <c r="F1208" s="112"/>
      <c r="G1208" s="112"/>
      <c r="H1208" s="112"/>
      <c r="I1208" s="112"/>
      <c r="J1208" s="112"/>
      <c r="K1208" s="112"/>
      <c r="L1208" s="112"/>
      <c r="M1208" s="112"/>
      <c r="N1208" s="112"/>
    </row>
    <row r="1209" spans="1:17" x14ac:dyDescent="0.25">
      <c r="A1209" s="105"/>
      <c r="B1209" s="105"/>
      <c r="C1209" s="105"/>
      <c r="D1209" s="105"/>
      <c r="E1209" s="105"/>
      <c r="F1209" s="105"/>
      <c r="G1209" s="105"/>
      <c r="H1209" s="105"/>
      <c r="I1209" s="105"/>
      <c r="J1209" s="105"/>
      <c r="K1209" s="105"/>
      <c r="L1209" s="105"/>
      <c r="M1209" s="105"/>
      <c r="N1209" s="105"/>
    </row>
    <row r="1210" spans="1:17" x14ac:dyDescent="0.25">
      <c r="A1210" s="105"/>
      <c r="B1210" s="105"/>
      <c r="C1210" s="105"/>
      <c r="D1210" s="105"/>
      <c r="E1210" s="105"/>
      <c r="F1210" s="105"/>
      <c r="G1210" s="105"/>
      <c r="H1210" s="105"/>
      <c r="I1210" s="105"/>
      <c r="J1210" s="105"/>
      <c r="K1210" s="105"/>
      <c r="L1210" s="105"/>
      <c r="M1210" s="105"/>
      <c r="N1210" s="105"/>
    </row>
    <row r="1211" spans="1:17" x14ac:dyDescent="0.25">
      <c r="A1211" s="105"/>
      <c r="B1211" s="105"/>
      <c r="C1211" s="105"/>
      <c r="D1211" s="105"/>
      <c r="E1211" s="105"/>
      <c r="F1211" s="105"/>
      <c r="G1211" s="105"/>
      <c r="H1211" s="105"/>
      <c r="I1211" s="105"/>
      <c r="J1211" s="105"/>
      <c r="K1211" s="105"/>
      <c r="L1211" s="105"/>
      <c r="M1211" s="105"/>
      <c r="N1211" s="105"/>
    </row>
    <row r="1212" spans="1:17" ht="21" x14ac:dyDescent="0.25">
      <c r="A1212" s="109"/>
      <c r="B1212" s="109"/>
      <c r="C1212" s="109"/>
      <c r="D1212" s="109"/>
      <c r="E1212" s="109"/>
      <c r="F1212" s="109"/>
      <c r="G1212" s="109"/>
      <c r="H1212" s="109"/>
      <c r="I1212" s="109"/>
      <c r="J1212" s="109"/>
      <c r="K1212" s="109"/>
      <c r="L1212" s="109"/>
      <c r="M1212" s="109"/>
      <c r="N1212" s="109"/>
      <c r="O1212" s="109"/>
      <c r="P1212" s="109"/>
      <c r="Q1212" s="109"/>
    </row>
    <row r="1213" spans="1:17" x14ac:dyDescent="0.25">
      <c r="A1213" s="116"/>
      <c r="B1213" s="116"/>
    </row>
    <row r="1214" spans="1:17" x14ac:dyDescent="0.25">
      <c r="A1214" s="106"/>
      <c r="B1214" s="112"/>
      <c r="C1214" s="112"/>
      <c r="D1214" s="112"/>
      <c r="E1214" s="112"/>
      <c r="F1214" s="112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</row>
    <row r="1215" spans="1:17" x14ac:dyDescent="0.25">
      <c r="A1215" s="105"/>
      <c r="B1215" s="105"/>
      <c r="C1215" s="105"/>
      <c r="D1215" s="105"/>
      <c r="E1215" s="105"/>
      <c r="F1215" s="105"/>
      <c r="G1215" s="105"/>
      <c r="H1215" s="105"/>
      <c r="I1215" s="105"/>
      <c r="J1215" s="105"/>
      <c r="K1215" s="105"/>
      <c r="L1215" s="105"/>
      <c r="M1215" s="105"/>
      <c r="N1215" s="105"/>
      <c r="O1215" s="105"/>
      <c r="P1215" s="105"/>
      <c r="Q1215" s="105"/>
    </row>
    <row r="1216" spans="1:17" x14ac:dyDescent="0.25">
      <c r="A1216" s="105"/>
      <c r="B1216" s="105"/>
      <c r="C1216" s="105"/>
      <c r="D1216" s="105"/>
      <c r="E1216" s="105"/>
      <c r="F1216" s="105"/>
      <c r="G1216" s="105"/>
      <c r="H1216" s="105"/>
      <c r="I1216" s="105"/>
      <c r="J1216" s="105"/>
      <c r="K1216" s="105"/>
      <c r="L1216" s="105"/>
      <c r="M1216" s="105"/>
      <c r="N1216" s="105"/>
      <c r="O1216" s="105"/>
      <c r="P1216" s="105"/>
      <c r="Q1216" s="105"/>
    </row>
    <row r="1217" spans="1:17" ht="16.5" thickBot="1" x14ac:dyDescent="0.3">
      <c r="A1217" s="105"/>
      <c r="B1217" s="105"/>
      <c r="C1217" s="105"/>
      <c r="D1217" s="105"/>
      <c r="E1217" s="105"/>
      <c r="F1217" s="105"/>
      <c r="G1217" s="105"/>
      <c r="H1217" s="105"/>
      <c r="I1217" s="105"/>
      <c r="J1217" s="105"/>
      <c r="K1217" s="105"/>
      <c r="L1217" s="105"/>
      <c r="M1217" s="105"/>
      <c r="N1217" s="105"/>
      <c r="O1217" s="105"/>
      <c r="P1217" s="105"/>
      <c r="Q1217" s="105"/>
    </row>
    <row r="1218" spans="1:17" x14ac:dyDescent="0.25">
      <c r="A1218" s="110"/>
      <c r="B1218" s="110"/>
      <c r="C1218" s="110"/>
      <c r="D1218" s="110"/>
      <c r="E1218" s="110"/>
      <c r="F1218" s="110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</row>
    <row r="1219" spans="1:17" x14ac:dyDescent="0.25">
      <c r="A1219" s="105"/>
      <c r="B1219" s="105"/>
      <c r="C1219" s="105"/>
      <c r="D1219" s="105"/>
      <c r="E1219" s="105"/>
      <c r="F1219" s="105"/>
      <c r="G1219" s="105"/>
      <c r="H1219" s="105"/>
      <c r="I1219" s="105"/>
      <c r="J1219" s="105"/>
      <c r="K1219" s="105"/>
      <c r="L1219" s="105"/>
      <c r="M1219" s="105"/>
      <c r="N1219" s="105"/>
      <c r="O1219" s="105"/>
      <c r="P1219" s="105"/>
      <c r="Q1219" s="105"/>
    </row>
    <row r="1220" spans="1:17" ht="16.5" thickBot="1" x14ac:dyDescent="0.3">
      <c r="A1220" s="105"/>
      <c r="B1220" s="105"/>
      <c r="C1220" s="105"/>
      <c r="D1220" s="105"/>
      <c r="E1220" s="105"/>
      <c r="F1220" s="105"/>
      <c r="G1220" s="105"/>
      <c r="H1220" s="105"/>
      <c r="I1220" s="105"/>
      <c r="J1220" s="105"/>
      <c r="K1220" s="105"/>
      <c r="L1220" s="105"/>
      <c r="M1220" s="105"/>
      <c r="N1220" s="105"/>
      <c r="O1220" s="105"/>
      <c r="P1220" s="105"/>
      <c r="Q1220" s="105"/>
    </row>
    <row r="1221" spans="1:17" x14ac:dyDescent="0.25">
      <c r="A1221" s="110"/>
      <c r="B1221" s="110"/>
      <c r="C1221" s="110"/>
      <c r="D1221" s="110"/>
      <c r="E1221" s="110"/>
      <c r="F1221" s="115"/>
    </row>
    <row r="1222" spans="1:17" ht="21" x14ac:dyDescent="0.25">
      <c r="A1222" s="109"/>
      <c r="B1222" s="109"/>
      <c r="C1222" s="109"/>
      <c r="D1222" s="109"/>
      <c r="E1222" s="109"/>
      <c r="F1222" s="109"/>
      <c r="G1222" s="109"/>
      <c r="H1222" s="109"/>
    </row>
    <row r="1223" spans="1:17" x14ac:dyDescent="0.25">
      <c r="A1223" s="114"/>
      <c r="B1223" s="114"/>
    </row>
    <row r="1224" spans="1:17" ht="16.5" thickBot="1" x14ac:dyDescent="0.3">
      <c r="A1224" s="105"/>
      <c r="B1224" s="105"/>
      <c r="C1224" s="105"/>
      <c r="D1224" s="105"/>
      <c r="E1224" s="105"/>
      <c r="F1224" s="105"/>
      <c r="G1224" s="105"/>
      <c r="H1224" s="105"/>
    </row>
    <row r="1225" spans="1:17" x14ac:dyDescent="0.25">
      <c r="A1225" s="106"/>
      <c r="B1225" s="117"/>
      <c r="C1225" s="118"/>
      <c r="D1225" s="118"/>
      <c r="E1225" s="118"/>
      <c r="F1225" s="118"/>
      <c r="G1225" s="118"/>
      <c r="H1225" s="119"/>
    </row>
    <row r="1226" spans="1:17" ht="16.5" thickBot="1" x14ac:dyDescent="0.3">
      <c r="A1226" s="105"/>
      <c r="B1226" s="105"/>
      <c r="C1226" s="105"/>
      <c r="D1226" s="105"/>
      <c r="E1226" s="105"/>
      <c r="F1226" s="105"/>
      <c r="G1226" s="105"/>
      <c r="H1226" s="105"/>
    </row>
    <row r="1227" spans="1:17" x14ac:dyDescent="0.25">
      <c r="A1227" s="106"/>
      <c r="B1227" s="117"/>
      <c r="C1227" s="118"/>
      <c r="D1227" s="118"/>
      <c r="E1227" s="118"/>
      <c r="F1227" s="118"/>
      <c r="G1227" s="118"/>
      <c r="H1227" s="119"/>
    </row>
    <row r="1228" spans="1:17" x14ac:dyDescent="0.25">
      <c r="A1228" s="105"/>
      <c r="B1228" s="105"/>
      <c r="C1228" s="105"/>
      <c r="D1228" s="105"/>
      <c r="E1228" s="105"/>
      <c r="F1228" s="105"/>
      <c r="G1228" s="105"/>
      <c r="H1228" s="105"/>
    </row>
    <row r="1229" spans="1:17" ht="21" x14ac:dyDescent="0.25">
      <c r="A1229" s="120"/>
      <c r="B1229" s="120"/>
      <c r="C1229" s="120"/>
      <c r="D1229" s="120"/>
      <c r="E1229" s="120"/>
      <c r="F1229" s="120"/>
    </row>
    <row r="1230" spans="1:17" x14ac:dyDescent="0.25">
      <c r="A1230" s="123"/>
      <c r="B1230" s="124"/>
      <c r="C1230" s="124"/>
      <c r="D1230" s="124"/>
      <c r="E1230" s="124"/>
      <c r="F1230" s="124"/>
    </row>
    <row r="1231" spans="1:17" ht="16.5" thickBot="1" x14ac:dyDescent="0.3">
      <c r="A1231" s="121"/>
      <c r="B1231" s="121"/>
      <c r="C1231" s="121"/>
      <c r="D1231" s="121"/>
      <c r="E1231" s="121"/>
      <c r="F1231" s="121"/>
    </row>
    <row r="1232" spans="1:17" x14ac:dyDescent="0.25">
      <c r="A1232" s="122"/>
      <c r="B1232" s="122"/>
      <c r="C1232" s="122"/>
      <c r="D1232" s="122"/>
      <c r="E1232" s="122"/>
      <c r="F1232" s="122"/>
    </row>
    <row r="1233" spans="1:6" ht="16.5" thickBot="1" x14ac:dyDescent="0.3">
      <c r="A1233" s="121"/>
      <c r="B1233" s="121"/>
      <c r="C1233" s="121"/>
      <c r="D1233" s="121"/>
      <c r="E1233" s="121"/>
      <c r="F1233" s="121"/>
    </row>
    <row r="1234" spans="1:6" x14ac:dyDescent="0.25">
      <c r="A1234" s="122"/>
      <c r="B1234" s="122"/>
      <c r="C1234" s="122"/>
      <c r="D1234" s="122"/>
      <c r="E1234" s="122"/>
      <c r="F1234" s="122"/>
    </row>
    <row r="1235" spans="1:6" ht="21" x14ac:dyDescent="0.25">
      <c r="A1235" s="120"/>
      <c r="B1235" s="121"/>
      <c r="C1235" s="121"/>
      <c r="D1235" s="121"/>
      <c r="E1235" s="121"/>
      <c r="F1235" s="121"/>
    </row>
    <row r="1236" spans="1:6" x14ac:dyDescent="0.25">
      <c r="A1236" s="123"/>
      <c r="B1236" s="124"/>
      <c r="C1236" s="124"/>
      <c r="D1236" s="124"/>
      <c r="E1236" s="124"/>
      <c r="F1236" s="124"/>
    </row>
    <row r="1237" spans="1:6" x14ac:dyDescent="0.25">
      <c r="A1237" s="121"/>
      <c r="B1237" s="121"/>
      <c r="C1237" s="121"/>
      <c r="D1237" s="121"/>
      <c r="E1237" s="121"/>
      <c r="F1237" s="121"/>
    </row>
    <row r="1238" spans="1:6" ht="16.5" thickBot="1" x14ac:dyDescent="0.3">
      <c r="A1238" s="121"/>
      <c r="B1238" s="121"/>
      <c r="C1238" s="121"/>
      <c r="D1238" s="121"/>
      <c r="E1238" s="121"/>
      <c r="F1238" s="121"/>
    </row>
    <row r="1239" spans="1:6" ht="16.5" thickBot="1" x14ac:dyDescent="0.3">
      <c r="A1239" s="122"/>
      <c r="B1239" s="122"/>
      <c r="C1239" s="122"/>
      <c r="D1239" s="122"/>
      <c r="E1239" s="122"/>
      <c r="F1239" s="122"/>
    </row>
    <row r="1240" spans="1:6" x14ac:dyDescent="0.25">
      <c r="A1240" s="122"/>
      <c r="B1240" s="122"/>
      <c r="C1240" s="122"/>
      <c r="D1240" s="122"/>
      <c r="E1240" s="122"/>
      <c r="F1240" s="122"/>
    </row>
    <row r="1241" spans="1:6" ht="21" x14ac:dyDescent="0.25">
      <c r="A1241" s="120"/>
      <c r="B1241" s="121"/>
      <c r="C1241" s="121"/>
      <c r="D1241" s="121"/>
      <c r="E1241" s="121"/>
      <c r="F1241" s="121"/>
    </row>
    <row r="1242" spans="1:6" x14ac:dyDescent="0.25">
      <c r="A1242" s="123"/>
      <c r="B1242" s="124"/>
      <c r="C1242" s="124"/>
      <c r="D1242" s="124"/>
      <c r="E1242" s="124"/>
      <c r="F1242" s="124"/>
    </row>
    <row r="1243" spans="1:6" ht="16.5" thickBot="1" x14ac:dyDescent="0.3">
      <c r="A1243" s="121"/>
      <c r="B1243" s="121"/>
      <c r="C1243" s="121"/>
      <c r="D1243" s="121"/>
      <c r="E1243" s="121"/>
      <c r="F1243" s="121"/>
    </row>
    <row r="1244" spans="1:6" x14ac:dyDescent="0.25">
      <c r="A1244" s="122"/>
      <c r="B1244" s="122"/>
      <c r="C1244" s="122"/>
      <c r="D1244" s="122"/>
      <c r="E1244" s="122"/>
      <c r="F1244" s="122"/>
    </row>
    <row r="1245" spans="1:6" x14ac:dyDescent="0.25">
      <c r="A1245" s="121"/>
      <c r="B1245" s="121"/>
      <c r="C1245" s="121"/>
      <c r="D1245" s="121"/>
      <c r="E1245" s="121"/>
      <c r="F1245" s="121"/>
    </row>
    <row r="1246" spans="1:6" x14ac:dyDescent="0.25">
      <c r="A1246" s="121"/>
      <c r="B1246" s="121"/>
      <c r="C1246" s="121"/>
      <c r="D1246" s="121"/>
      <c r="E1246" s="121"/>
      <c r="F1246" s="121"/>
    </row>
    <row r="1247" spans="1:6" ht="16.5" thickBot="1" x14ac:dyDescent="0.3">
      <c r="A1247" s="121"/>
      <c r="B1247" s="121"/>
      <c r="C1247" s="121"/>
      <c r="D1247" s="121"/>
      <c r="E1247" s="121"/>
      <c r="F1247" s="121"/>
    </row>
    <row r="1248" spans="1:6" x14ac:dyDescent="0.25">
      <c r="A1248" s="122"/>
      <c r="B1248" s="122"/>
      <c r="C1248" s="122"/>
      <c r="D1248" s="122"/>
      <c r="E1248" s="122"/>
      <c r="F1248" s="122"/>
    </row>
    <row r="1249" spans="1:6" ht="21" x14ac:dyDescent="0.25">
      <c r="A1249" s="120"/>
      <c r="B1249" s="121"/>
      <c r="C1249" s="121"/>
      <c r="D1249" s="121"/>
      <c r="E1249" s="121"/>
      <c r="F1249" s="121"/>
    </row>
    <row r="1250" spans="1:6" x14ac:dyDescent="0.25">
      <c r="A1250" s="123"/>
      <c r="B1250" s="124"/>
      <c r="C1250" s="124"/>
      <c r="D1250" s="124"/>
      <c r="E1250" s="124"/>
      <c r="F1250" s="124"/>
    </row>
    <row r="1251" spans="1:6" x14ac:dyDescent="0.25">
      <c r="A1251" s="121"/>
      <c r="B1251" s="121"/>
      <c r="C1251" s="121"/>
      <c r="D1251" s="121"/>
      <c r="E1251" s="121"/>
      <c r="F1251" s="121"/>
    </row>
    <row r="1252" spans="1:6" x14ac:dyDescent="0.25">
      <c r="A1252" s="121"/>
      <c r="B1252" s="121"/>
      <c r="C1252" s="121"/>
      <c r="D1252" s="121"/>
      <c r="E1252" s="121"/>
      <c r="F1252" s="121"/>
    </row>
    <row r="1253" spans="1:6" ht="16.5" thickBot="1" x14ac:dyDescent="0.3">
      <c r="A1253" s="121"/>
      <c r="B1253" s="121"/>
      <c r="C1253" s="121"/>
      <c r="D1253" s="121"/>
      <c r="E1253" s="121"/>
      <c r="F1253" s="121"/>
    </row>
    <row r="1254" spans="1:6" x14ac:dyDescent="0.25">
      <c r="A1254" s="122"/>
      <c r="B1254" s="122"/>
      <c r="C1254" s="122"/>
      <c r="D1254" s="122"/>
      <c r="E1254" s="122"/>
      <c r="F1254" s="122"/>
    </row>
    <row r="1255" spans="1:6" x14ac:dyDescent="0.25">
      <c r="A1255" s="121"/>
      <c r="B1255" s="121"/>
      <c r="C1255" s="121"/>
      <c r="D1255" s="121"/>
      <c r="E1255" s="121"/>
      <c r="F1255" s="1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7E31-6CEE-40AE-8174-5B091C95188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366D-41CD-43C0-80E4-3C58FC1E9AFB}">
  <dimension ref="A247:D297"/>
  <sheetViews>
    <sheetView workbookViewId="0"/>
  </sheetViews>
  <sheetFormatPr defaultRowHeight="15.75" x14ac:dyDescent="0.25"/>
  <sheetData>
    <row r="247" spans="1:4" x14ac:dyDescent="0.25">
      <c r="A247" s="2"/>
      <c r="B247" s="2"/>
      <c r="C247" s="2"/>
      <c r="D247" s="2"/>
    </row>
    <row r="248" spans="1:4" x14ac:dyDescent="0.25">
      <c r="A248" s="3"/>
      <c r="B248" s="3"/>
      <c r="C248" s="3"/>
      <c r="D248" s="3"/>
    </row>
    <row r="249" spans="1:4" x14ac:dyDescent="0.25">
      <c r="A249" s="13"/>
      <c r="B249" s="13"/>
      <c r="C249" s="13"/>
      <c r="D249" s="13"/>
    </row>
    <row r="250" spans="1:4" x14ac:dyDescent="0.25">
      <c r="A250" s="13"/>
      <c r="B250" s="13"/>
      <c r="C250" s="13"/>
      <c r="D250" s="13"/>
    </row>
    <row r="251" spans="1:4" x14ac:dyDescent="0.25">
      <c r="A251" s="13"/>
      <c r="B251" s="13"/>
      <c r="C251" s="13"/>
      <c r="D251" s="13"/>
    </row>
    <row r="252" spans="1:4" x14ac:dyDescent="0.25">
      <c r="A252" s="13"/>
      <c r="B252" s="13"/>
      <c r="C252" s="13"/>
      <c r="D252" s="13"/>
    </row>
    <row r="253" spans="1:4" x14ac:dyDescent="0.25">
      <c r="A253" s="13"/>
      <c r="B253" s="13"/>
      <c r="C253" s="13"/>
      <c r="D253" s="13"/>
    </row>
    <row r="254" spans="1:4" x14ac:dyDescent="0.25">
      <c r="A254" s="13"/>
      <c r="B254" s="13"/>
      <c r="C254" s="13"/>
      <c r="D254" s="13"/>
    </row>
    <row r="255" spans="1:4" x14ac:dyDescent="0.25">
      <c r="A255" s="13"/>
      <c r="B255" s="13"/>
      <c r="C255" s="13"/>
      <c r="D255" s="13"/>
    </row>
    <row r="256" spans="1:4" x14ac:dyDescent="0.25">
      <c r="A256" s="13"/>
      <c r="B256" s="13"/>
      <c r="C256" s="13"/>
      <c r="D256" s="13"/>
    </row>
    <row r="257" spans="1:4" x14ac:dyDescent="0.25">
      <c r="A257" s="13"/>
      <c r="B257" s="13"/>
      <c r="C257" s="13"/>
      <c r="D257" s="13"/>
    </row>
    <row r="258" spans="1:4" x14ac:dyDescent="0.25">
      <c r="A258" s="13"/>
      <c r="B258" s="13"/>
      <c r="C258" s="13"/>
      <c r="D258" s="13"/>
    </row>
    <row r="259" spans="1:4" x14ac:dyDescent="0.25">
      <c r="A259" s="14"/>
      <c r="B259" s="14"/>
      <c r="C259" s="14"/>
      <c r="D259" s="14"/>
    </row>
    <row r="260" spans="1:4" x14ac:dyDescent="0.25">
      <c r="A260" s="15"/>
      <c r="B260" s="15"/>
      <c r="C260" s="15"/>
      <c r="D260" s="15"/>
    </row>
    <row r="261" spans="1:4" x14ac:dyDescent="0.25">
      <c r="A261" s="13"/>
      <c r="B261" s="13"/>
      <c r="C261" s="13"/>
      <c r="D261" s="13"/>
    </row>
    <row r="262" spans="1:4" x14ac:dyDescent="0.25">
      <c r="A262" s="13"/>
      <c r="B262" s="13"/>
      <c r="C262" s="13"/>
      <c r="D262" s="13"/>
    </row>
    <row r="263" spans="1:4" x14ac:dyDescent="0.25">
      <c r="A263" s="13"/>
      <c r="B263" s="13"/>
      <c r="C263" s="13"/>
      <c r="D263" s="13"/>
    </row>
    <row r="264" spans="1:4" x14ac:dyDescent="0.25">
      <c r="A264" s="13"/>
      <c r="B264" s="13"/>
      <c r="C264" s="13"/>
      <c r="D264" s="13"/>
    </row>
    <row r="265" spans="1:4" x14ac:dyDescent="0.25">
      <c r="A265" s="13"/>
      <c r="B265" s="13"/>
      <c r="C265" s="13"/>
      <c r="D265" s="13"/>
    </row>
    <row r="266" spans="1:4" x14ac:dyDescent="0.25">
      <c r="A266" s="13"/>
      <c r="B266" s="13"/>
      <c r="C266" s="13"/>
      <c r="D266" s="13"/>
    </row>
    <row r="267" spans="1:4" x14ac:dyDescent="0.25">
      <c r="A267" s="13"/>
      <c r="B267" s="13"/>
      <c r="C267" s="13"/>
      <c r="D267" s="13"/>
    </row>
    <row r="268" spans="1:4" x14ac:dyDescent="0.25">
      <c r="A268" s="13"/>
      <c r="B268" s="13"/>
      <c r="C268" s="13"/>
      <c r="D268" s="13"/>
    </row>
    <row r="269" spans="1:4" ht="16.5" thickBot="1" x14ac:dyDescent="0.3">
      <c r="A269" s="14"/>
      <c r="B269" s="14"/>
      <c r="C269" s="14"/>
      <c r="D269" s="14"/>
    </row>
    <row r="270" spans="1:4" x14ac:dyDescent="0.25">
      <c r="A270" s="16"/>
      <c r="B270" s="16"/>
      <c r="C270" s="16"/>
      <c r="D270" s="16"/>
    </row>
    <row r="271" spans="1:4" x14ac:dyDescent="0.25">
      <c r="A271" s="17"/>
      <c r="B271" s="17"/>
      <c r="C271" s="17"/>
      <c r="D271" s="17"/>
    </row>
    <row r="272" spans="1:4" x14ac:dyDescent="0.25">
      <c r="A272" s="15"/>
      <c r="B272" s="15"/>
      <c r="C272" s="15"/>
      <c r="D272" s="15"/>
    </row>
    <row r="273" spans="1:4" x14ac:dyDescent="0.25">
      <c r="A273" s="13"/>
      <c r="B273" s="13"/>
      <c r="C273" s="13"/>
      <c r="D273" s="13"/>
    </row>
    <row r="274" spans="1:4" x14ac:dyDescent="0.25">
      <c r="A274" s="13"/>
      <c r="B274" s="13"/>
      <c r="C274" s="13"/>
      <c r="D274" s="13"/>
    </row>
    <row r="275" spans="1:4" x14ac:dyDescent="0.25">
      <c r="A275" s="14"/>
      <c r="B275" s="14"/>
      <c r="C275" s="14"/>
      <c r="D275" s="14"/>
    </row>
    <row r="276" spans="1:4" x14ac:dyDescent="0.25">
      <c r="A276" s="13"/>
      <c r="B276" s="13"/>
      <c r="C276" s="13"/>
      <c r="D276" s="13"/>
    </row>
    <row r="277" spans="1:4" x14ac:dyDescent="0.25">
      <c r="A277" s="14"/>
      <c r="B277" s="14"/>
      <c r="C277" s="14"/>
      <c r="D277" s="14"/>
    </row>
    <row r="278" spans="1:4" x14ac:dyDescent="0.25">
      <c r="A278" s="15"/>
      <c r="B278" s="15"/>
      <c r="C278" s="15"/>
      <c r="D278" s="15"/>
    </row>
    <row r="279" spans="1:4" x14ac:dyDescent="0.25">
      <c r="A279" s="15"/>
      <c r="B279" s="15"/>
      <c r="C279" s="15"/>
      <c r="D279" s="15"/>
    </row>
    <row r="280" spans="1:4" x14ac:dyDescent="0.25">
      <c r="A280" s="13"/>
      <c r="B280" s="13"/>
      <c r="C280" s="13"/>
      <c r="D280" s="13"/>
    </row>
    <row r="281" spans="1:4" x14ac:dyDescent="0.25">
      <c r="A281" s="13"/>
      <c r="B281" s="13"/>
      <c r="C281" s="13"/>
      <c r="D281" s="13"/>
    </row>
    <row r="282" spans="1:4" x14ac:dyDescent="0.25">
      <c r="A282" s="13"/>
      <c r="B282" s="13"/>
      <c r="C282" s="13"/>
      <c r="D282" s="13"/>
    </row>
    <row r="283" spans="1:4" x14ac:dyDescent="0.25">
      <c r="A283" s="13"/>
      <c r="B283" s="13"/>
      <c r="C283" s="13"/>
      <c r="D283" s="13"/>
    </row>
    <row r="284" spans="1:4" x14ac:dyDescent="0.25">
      <c r="A284" s="13"/>
      <c r="B284" s="13"/>
      <c r="C284" s="13"/>
      <c r="D284" s="13"/>
    </row>
    <row r="285" spans="1:4" x14ac:dyDescent="0.25">
      <c r="A285" s="13"/>
      <c r="B285" s="13"/>
      <c r="C285" s="13"/>
      <c r="D285" s="13"/>
    </row>
    <row r="286" spans="1:4" x14ac:dyDescent="0.25">
      <c r="A286" s="14"/>
      <c r="B286" s="14"/>
      <c r="C286" s="14"/>
      <c r="D286" s="14"/>
    </row>
    <row r="287" spans="1:4" x14ac:dyDescent="0.25">
      <c r="A287" s="15"/>
      <c r="B287" s="15"/>
      <c r="C287" s="15"/>
      <c r="D287" s="15"/>
    </row>
    <row r="288" spans="1:4" x14ac:dyDescent="0.25">
      <c r="A288" s="13"/>
      <c r="B288" s="13"/>
      <c r="C288" s="13"/>
      <c r="D288" s="13"/>
    </row>
    <row r="289" spans="1:4" x14ac:dyDescent="0.25">
      <c r="A289" s="13"/>
      <c r="B289" s="13"/>
      <c r="C289" s="13"/>
      <c r="D289" s="13"/>
    </row>
    <row r="290" spans="1:4" x14ac:dyDescent="0.25">
      <c r="A290" s="13"/>
      <c r="B290" s="13"/>
      <c r="C290" s="13"/>
      <c r="D290" s="13"/>
    </row>
    <row r="291" spans="1:4" x14ac:dyDescent="0.25">
      <c r="A291" s="13"/>
      <c r="B291" s="13"/>
      <c r="C291" s="13"/>
      <c r="D291" s="13"/>
    </row>
    <row r="292" spans="1:4" x14ac:dyDescent="0.25">
      <c r="A292" s="13"/>
      <c r="B292" s="13"/>
      <c r="C292" s="13"/>
      <c r="D292" s="13"/>
    </row>
    <row r="293" spans="1:4" x14ac:dyDescent="0.25">
      <c r="A293" s="13"/>
      <c r="B293" s="13"/>
      <c r="C293" s="13"/>
      <c r="D293" s="13"/>
    </row>
    <row r="294" spans="1:4" x14ac:dyDescent="0.25">
      <c r="A294" s="13"/>
      <c r="B294" s="13"/>
      <c r="C294" s="13"/>
      <c r="D294" s="13"/>
    </row>
    <row r="295" spans="1:4" x14ac:dyDescent="0.25">
      <c r="A295" s="14"/>
      <c r="B295" s="14"/>
      <c r="C295" s="14"/>
      <c r="D295" s="14"/>
    </row>
    <row r="296" spans="1:4" ht="16.5" thickBot="1" x14ac:dyDescent="0.3">
      <c r="A296" s="14"/>
      <c r="B296" s="14"/>
      <c r="C296" s="14"/>
      <c r="D296" s="14"/>
    </row>
    <row r="297" spans="1:4" x14ac:dyDescent="0.25">
      <c r="A297" s="16"/>
      <c r="B297" s="16"/>
      <c r="C297" s="16"/>
      <c r="D29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Summary</vt:lpstr>
      <vt:lpstr>Assumptions</vt:lpstr>
      <vt:lpstr>Scenarios</vt:lpstr>
      <vt:lpstr>DCF</vt:lpstr>
      <vt:lpstr>Sensitivity</vt:lpstr>
      <vt:lpstr>Balance Sheet</vt:lpstr>
      <vt:lpstr>P&amp;L</vt:lpstr>
      <vt:lpstr>Cash Flow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Alam</dc:creator>
  <cp:lastModifiedBy>Amaan Alam</cp:lastModifiedBy>
  <dcterms:created xsi:type="dcterms:W3CDTF">2026-05-05T16:12:27Z</dcterms:created>
  <dcterms:modified xsi:type="dcterms:W3CDTF">2026-05-06T08:39:20Z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3acc77e4-586e-42bd-97d5-145d63e4f4b1</vt:lpwstr>
  </property>
</Properties>
</file>